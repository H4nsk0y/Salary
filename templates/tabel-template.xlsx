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/>
  <xr:revisionPtr revIDLastSave="0" documentId="13_ncr:1_{6563D6BE-BF36-4B25-B459-8234CD7F56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Инструкция" sheetId="8" r:id="rId1"/>
    <sheet name="пример" sheetId="1" r:id="rId2"/>
    <sheet name="Лист1" sheetId="11" r:id="rId3"/>
    <sheet name="ПК 1" sheetId="7" state="hidden" r:id="rId4"/>
    <sheet name="ПК 2 Дагестан" sheetId="9" state="hidden" r:id="rId5"/>
    <sheet name="Справочный лист" sheetId="5" state="hidden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2" i="1" l="1"/>
  <c r="AX15" i="1"/>
  <c r="AX18" i="1"/>
  <c r="AX21" i="1"/>
  <c r="AX9" i="1"/>
  <c r="AW12" i="1"/>
  <c r="AW15" i="1"/>
  <c r="AW18" i="1"/>
  <c r="AW21" i="1"/>
  <c r="AW9" i="1"/>
  <c r="AV12" i="1"/>
  <c r="AV15" i="1"/>
  <c r="AV18" i="1"/>
  <c r="AV21" i="1"/>
  <c r="AV9" i="1"/>
  <c r="AP12" i="1"/>
  <c r="AP15" i="1"/>
  <c r="AP18" i="1"/>
  <c r="AP21" i="1"/>
  <c r="AP9" i="1"/>
  <c r="AO12" i="1"/>
  <c r="AO15" i="1"/>
  <c r="AO18" i="1"/>
  <c r="AO21" i="1"/>
  <c r="AO9" i="1"/>
  <c r="AN15" i="1"/>
  <c r="AN18" i="1"/>
  <c r="AN21" i="1"/>
  <c r="AN12" i="1"/>
  <c r="F12" i="1" l="1"/>
  <c r="F15" i="1"/>
  <c r="F18" i="1"/>
  <c r="F21" i="1"/>
  <c r="F9" i="1"/>
  <c r="C21" i="1"/>
  <c r="C18" i="1"/>
  <c r="C15" i="1"/>
  <c r="C12" i="1"/>
  <c r="C9" i="1"/>
  <c r="AN9" i="1" s="1"/>
  <c r="I8" i="1" l="1"/>
  <c r="F18" i="9"/>
  <c r="F17" i="9"/>
  <c r="H5" i="1" l="1"/>
  <c r="G17" i="9"/>
  <c r="G18" i="9"/>
  <c r="G19" i="9"/>
  <c r="G20" i="9"/>
  <c r="F20" i="9"/>
  <c r="F19" i="9"/>
  <c r="F21" i="9"/>
  <c r="F22" i="9" s="1"/>
  <c r="AZ9" i="1" s="1"/>
  <c r="AN6" i="7"/>
  <c r="AO6" i="7"/>
  <c r="AN7" i="7"/>
  <c r="AO7" i="7"/>
  <c r="AN8" i="7"/>
  <c r="AO8" i="7"/>
  <c r="AN10" i="7"/>
  <c r="AO10" i="7"/>
  <c r="AN11" i="7"/>
  <c r="AO11" i="7"/>
  <c r="AN12" i="7"/>
  <c r="AO12" i="7"/>
  <c r="AN14" i="7"/>
  <c r="AO14" i="7"/>
  <c r="AN15" i="7"/>
  <c r="AO15" i="7"/>
  <c r="AN16" i="7"/>
  <c r="AO16" i="7"/>
  <c r="AN18" i="7"/>
  <c r="AO18" i="7"/>
  <c r="AN19" i="7"/>
  <c r="AO19" i="7"/>
  <c r="AN20" i="7"/>
  <c r="AO20" i="7"/>
  <c r="AJ23" i="7"/>
  <c r="AN32" i="7"/>
  <c r="AO32" i="7"/>
  <c r="AN33" i="7"/>
  <c r="AO33" i="7"/>
  <c r="AN34" i="7"/>
  <c r="AO34" i="7"/>
  <c r="AN36" i="7"/>
  <c r="AO36" i="7"/>
  <c r="AN37" i="7"/>
  <c r="AO37" i="7"/>
  <c r="AN38" i="7"/>
  <c r="AO38" i="7"/>
  <c r="AN40" i="7"/>
  <c r="AO40" i="7"/>
  <c r="AO43" i="7" s="1"/>
  <c r="AN41" i="7"/>
  <c r="AO41" i="7"/>
  <c r="AN42" i="7"/>
  <c r="AO42" i="7"/>
  <c r="AN44" i="7"/>
  <c r="AO44" i="7"/>
  <c r="AN45" i="7"/>
  <c r="AO45" i="7"/>
  <c r="AN46" i="7"/>
  <c r="AO46" i="7"/>
  <c r="AJ49" i="7"/>
  <c r="AN35" i="7" l="1"/>
  <c r="AN43" i="7"/>
  <c r="AN39" i="7"/>
  <c r="AN47" i="7"/>
  <c r="AO47" i="7"/>
  <c r="AO39" i="7"/>
  <c r="AO35" i="7"/>
  <c r="AN17" i="7"/>
  <c r="AO17" i="7"/>
  <c r="AN9" i="7"/>
  <c r="AO21" i="7"/>
  <c r="AN21" i="7"/>
  <c r="AO9" i="7"/>
  <c r="AO13" i="7"/>
  <c r="AO22" i="7"/>
  <c r="AO23" i="7" s="1"/>
  <c r="AN13" i="7"/>
  <c r="G21" i="9"/>
  <c r="G22" i="9" s="1"/>
  <c r="AR9" i="1"/>
  <c r="AO48" i="7" l="1"/>
  <c r="AO49" i="7" s="1"/>
  <c r="AU12" i="1" l="1"/>
  <c r="AU15" i="1"/>
  <c r="AU21" i="1"/>
  <c r="AU9" i="1"/>
  <c r="AM12" i="1"/>
  <c r="AM15" i="1"/>
  <c r="AM21" i="1"/>
  <c r="AM9" i="1"/>
  <c r="AU18" i="1" l="1"/>
  <c r="AM18" i="1"/>
  <c r="J8" i="1" l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J7" i="1" l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I7" i="1"/>
  <c r="BA15" i="1" l="1"/>
  <c r="AR15" i="1"/>
  <c r="AT15" i="1" s="1"/>
  <c r="AZ15" i="1"/>
  <c r="AS15" i="1"/>
  <c r="BA12" i="1"/>
  <c r="AR12" i="1"/>
  <c r="AT12" i="1" s="1"/>
  <c r="AZ12" i="1"/>
  <c r="BB12" i="1" s="1"/>
  <c r="AS12" i="1"/>
  <c r="BA18" i="1"/>
  <c r="AR18" i="1"/>
  <c r="AT18" i="1" s="1"/>
  <c r="AZ18" i="1"/>
  <c r="BB18" i="1" s="1"/>
  <c r="AS18" i="1"/>
  <c r="AR21" i="1"/>
  <c r="AT21" i="1" s="1"/>
  <c r="AS21" i="1"/>
  <c r="BA21" i="1"/>
  <c r="AZ21" i="1"/>
  <c r="BB21" i="1" s="1"/>
  <c r="AS9" i="1"/>
  <c r="BB15" i="1"/>
  <c r="BB9" i="1"/>
  <c r="AT9" i="1"/>
  <c r="BA9" i="1" l="1"/>
</calcChain>
</file>

<file path=xl/sharedStrings.xml><?xml version="1.0" encoding="utf-8"?>
<sst xmlns="http://schemas.openxmlformats.org/spreadsheetml/2006/main" count="3569" uniqueCount="1081">
  <si>
    <t>Табельный номер</t>
  </si>
  <si>
    <t>ВТ</t>
  </si>
  <si>
    <t>СР</t>
  </si>
  <si>
    <t>ЧТ</t>
  </si>
  <si>
    <t>ПТ</t>
  </si>
  <si>
    <t>СБ</t>
  </si>
  <si>
    <t>ВС</t>
  </si>
  <si>
    <t>ПН</t>
  </si>
  <si>
    <t>Я</t>
  </si>
  <si>
    <t>Н</t>
  </si>
  <si>
    <t>ОТ</t>
  </si>
  <si>
    <t>Х</t>
  </si>
  <si>
    <t>Б</t>
  </si>
  <si>
    <t>ДО</t>
  </si>
  <si>
    <t>ОВ</t>
  </si>
  <si>
    <t>Грузчик</t>
  </si>
  <si>
    <t>Отдел готовой продукции</t>
  </si>
  <si>
    <t>Отдел сырья и материалов</t>
  </si>
  <si>
    <t>1 квартал</t>
  </si>
  <si>
    <t>Январь</t>
  </si>
  <si>
    <t>Февраль</t>
  </si>
  <si>
    <t>Март</t>
  </si>
  <si>
    <t>2 квартал</t>
  </si>
  <si>
    <t>Апрель</t>
  </si>
  <si>
    <t>Май</t>
  </si>
  <si>
    <t>Июнь</t>
  </si>
  <si>
    <t>3 квартал</t>
  </si>
  <si>
    <t>Июль</t>
  </si>
  <si>
    <t>Август</t>
  </si>
  <si>
    <t>Сентябрь</t>
  </si>
  <si>
    <t>4 квартал</t>
  </si>
  <si>
    <t>Октябрь</t>
  </si>
  <si>
    <t>Ноябрь</t>
  </si>
  <si>
    <t>Декабрь</t>
  </si>
  <si>
    <t>№
п/п</t>
  </si>
  <si>
    <t>ФИО</t>
  </si>
  <si>
    <t>Табельный
номер</t>
  </si>
  <si>
    <t>Должность</t>
  </si>
  <si>
    <t>Вид времени</t>
  </si>
  <si>
    <t>За первую половину месяца</t>
  </si>
  <si>
    <t>Дни</t>
  </si>
  <si>
    <t>Часы</t>
  </si>
  <si>
    <t>Норма часов по ПК</t>
  </si>
  <si>
    <t>Отработано</t>
  </si>
  <si>
    <t>Среднемесячная
норма часов</t>
  </si>
  <si>
    <t>Перерабока от
нормы часов по ПК</t>
  </si>
  <si>
    <t>Переработка от
среднемесячной нормы часов</t>
  </si>
  <si>
    <t>Месяц</t>
  </si>
  <si>
    <t>Явка</t>
  </si>
  <si>
    <t>ПТД</t>
  </si>
  <si>
    <t>Приостановление трудового договора</t>
  </si>
  <si>
    <t>Дополнительные выходные дни (оплачиваемые)</t>
  </si>
  <si>
    <t>Р</t>
  </si>
  <si>
    <t>Беременность и роды</t>
  </si>
  <si>
    <t>ОЖ</t>
  </si>
  <si>
    <t>Декретный отпуск</t>
  </si>
  <si>
    <t>Отпуска ежегодн.оплачиваемые или без сохранения ЗП</t>
  </si>
  <si>
    <t>Дни до трудоустройства или после увольнения</t>
  </si>
  <si>
    <t>Оформленный БЛ</t>
  </si>
  <si>
    <t>Отпуск без сохранения</t>
  </si>
  <si>
    <t>Д</t>
  </si>
  <si>
    <t>Явка в дневную смену</t>
  </si>
  <si>
    <t>Табель учета рабочего времени</t>
  </si>
  <si>
    <t>Ночные часы</t>
  </si>
  <si>
    <t>Подразделение 2:</t>
  </si>
  <si>
    <t>Месяц:</t>
  </si>
  <si>
    <t>Явка в ночную смену</t>
  </si>
  <si>
    <t>Пол</t>
  </si>
  <si>
    <t>Штатные сотрудники</t>
  </si>
  <si>
    <t>Отбор:</t>
  </si>
  <si>
    <t>№</t>
  </si>
  <si>
    <t>Организация</t>
  </si>
  <si>
    <t>Подразделение1</t>
  </si>
  <si>
    <t>Подразделение2</t>
  </si>
  <si>
    <t>Подразделение3</t>
  </si>
  <si>
    <t>Подразделение4</t>
  </si>
  <si>
    <t>Сотрудник</t>
  </si>
  <si>
    <t>Функция ШР</t>
  </si>
  <si>
    <t>Тарифная сетка</t>
  </si>
  <si>
    <t>АЛВИСА ООО</t>
  </si>
  <si>
    <t>ООО "АЛВИСА", филиал ЗАВОД АЛВИСА БЭВЭРИДЖ (ALVISA BEVERAGE)</t>
  </si>
  <si>
    <t>Служба персонала</t>
  </si>
  <si>
    <t>Администрация 26</t>
  </si>
  <si>
    <t>Цех розлива</t>
  </si>
  <si>
    <t>Производство 20</t>
  </si>
  <si>
    <t>Рабочие, занятые на погрузо-разгрузочных работах</t>
  </si>
  <si>
    <t>Руководитель цеха розлива</t>
  </si>
  <si>
    <t>Рабочие, занятые на подсобных работах</t>
  </si>
  <si>
    <t>Мастер</t>
  </si>
  <si>
    <t>Оператор автоматической линии</t>
  </si>
  <si>
    <t>Рабочие, занятые на производстве солода, продукции бродильных производств и виноделия и спиртосодержащих напитков</t>
  </si>
  <si>
    <t>Склад готовой продукции, сырья и материалов</t>
  </si>
  <si>
    <t>Водитель погрузчика</t>
  </si>
  <si>
    <t>Логистика 44</t>
  </si>
  <si>
    <t>Рабочие, занятые на транспортных работах</t>
  </si>
  <si>
    <t>Оператор 1С</t>
  </si>
  <si>
    <t>Кладовщик</t>
  </si>
  <si>
    <t>Рабочие, занятые на учете товарно-материальных ценностей</t>
  </si>
  <si>
    <t>Обслуживающее производство 25</t>
  </si>
  <si>
    <t>Служба безопасности</t>
  </si>
  <si>
    <t>Технологический отдел</t>
  </si>
  <si>
    <t>Технолог</t>
  </si>
  <si>
    <t>Оператор технологического процесса</t>
  </si>
  <si>
    <t>Отдел Единой государственной автоматизированной информационной системы</t>
  </si>
  <si>
    <t>Руководитель отдела ЕГАИС</t>
  </si>
  <si>
    <t>Оператор</t>
  </si>
  <si>
    <t>Юридический отдел</t>
  </si>
  <si>
    <t>Техническая служба</t>
  </si>
  <si>
    <t>Отдел главного механика</t>
  </si>
  <si>
    <t>Электрогазосварщик</t>
  </si>
  <si>
    <t>Рабочие, занятые на объектах повышенной опасности</t>
  </si>
  <si>
    <t>Наладчик оборудования в производстве пищевой продукции</t>
  </si>
  <si>
    <t>Рабочие, занятые на обслуживании КИПиА и оборудования</t>
  </si>
  <si>
    <t>Главный механик</t>
  </si>
  <si>
    <t>Рабочие, занятые на слесарных и слесарно-сборочных работах</t>
  </si>
  <si>
    <t>Отдел главного энергетика</t>
  </si>
  <si>
    <t>Слесарь контрольно-измерительных приборов и аппаратуры</t>
  </si>
  <si>
    <t>Главный энергетик</t>
  </si>
  <si>
    <t>Электромонтер по ремонту и наладке электрооборудования</t>
  </si>
  <si>
    <t>Рабочие, занятые на обслуживании электрооборудования</t>
  </si>
  <si>
    <t>Слесарь-сантехник</t>
  </si>
  <si>
    <t>Администрация</t>
  </si>
  <si>
    <t>Административно-хозяйственный отдел</t>
  </si>
  <si>
    <t>Рабочие, занятые на комплексном обслуживании и ремонте зданий</t>
  </si>
  <si>
    <t>Уборщик производственных и служебных помещений</t>
  </si>
  <si>
    <t>Дворник</t>
  </si>
  <si>
    <t>Руководитель административно-хозяйственного отдела</t>
  </si>
  <si>
    <t>Водитель автомобиля</t>
  </si>
  <si>
    <t>Отдел охраны труда</t>
  </si>
  <si>
    <t>Отдел эксплуатации</t>
  </si>
  <si>
    <t>Отдел обеспечения качества</t>
  </si>
  <si>
    <t>Специалист по развитию интегрированной системы менеджмента</t>
  </si>
  <si>
    <t>Лаборатория контроля качества</t>
  </si>
  <si>
    <t>Инженер-химик</t>
  </si>
  <si>
    <t>Инженер входного контроля</t>
  </si>
  <si>
    <t>Старший инженер-аналитик</t>
  </si>
  <si>
    <t>Инженер контроля качества</t>
  </si>
  <si>
    <t>Группа учета затрат и заработной платы</t>
  </si>
  <si>
    <t>Группа производственного учета</t>
  </si>
  <si>
    <t>Всего сотрудников</t>
  </si>
  <si>
    <t>Подразделение</t>
  </si>
  <si>
    <t>Женский</t>
  </si>
  <si>
    <t>Мужской</t>
  </si>
  <si>
    <t>Часов за день ("Явка")</t>
  </si>
  <si>
    <t>По графику</t>
  </si>
  <si>
    <t>По производств. календарю</t>
  </si>
  <si>
    <t>рабочих</t>
  </si>
  <si>
    <t>не-
раб. дней</t>
  </si>
  <si>
    <t>8</t>
  </si>
  <si>
    <t>9</t>
  </si>
  <si>
    <t>10</t>
  </si>
  <si>
    <t>11</t>
  </si>
  <si>
    <t>13</t>
  </si>
  <si>
    <t>14</t>
  </si>
  <si>
    <t>26</t>
  </si>
  <si>
    <t>28</t>
  </si>
  <si>
    <t>дней</t>
  </si>
  <si>
    <t>часов</t>
  </si>
  <si>
    <t>32</t>
  </si>
  <si>
    <t>64</t>
  </si>
  <si>
    <t>Итого за год:</t>
  </si>
  <si>
    <t>33</t>
  </si>
  <si>
    <t>246</t>
  </si>
  <si>
    <t>119</t>
  </si>
  <si>
    <t>За полный месяц</t>
  </si>
  <si>
    <t>Подразделение 1:</t>
  </si>
  <si>
    <t>459,8</t>
  </si>
  <si>
    <t>1766,2</t>
  </si>
  <si>
    <t>ООО «АЛВИСА», филиал ШАТО АЛВИСА (CHÂTEAU ALVISA)</t>
  </si>
  <si>
    <t>ООО "АЛВИСА", ФИЛИАЛ АЛВИСА ВИСКИ ДИСТИЛЛЕРИ (ALVISA WHISKY DISTILLERY)</t>
  </si>
  <si>
    <t>ООО "АЛВИСА", филиал АЛВИСА ВИСКИ (ALVISA WHISKY)</t>
  </si>
  <si>
    <t>ООО «АЛВИСА», филиал ЗАВОД АЛВИСА БЭВЭРИДЖ</t>
  </si>
  <si>
    <t>ООО «АЛВИСА», ФИЛИАЛ АЛВИСА ДИСТИЛЛЕРИ (ALVISA DISTILLERY)</t>
  </si>
  <si>
    <t>шато</t>
  </si>
  <si>
    <t>За месяц</t>
  </si>
  <si>
    <t>Комментарий</t>
  </si>
  <si>
    <t>РВ</t>
  </si>
  <si>
    <t xml:space="preserve">Инструкция по работе с Табелем учета рабочего времени </t>
  </si>
  <si>
    <r>
      <t xml:space="preserve">При возникновении вопросов работы с файлом прошу обращаться к </t>
    </r>
    <r>
      <rPr>
        <i/>
        <u/>
        <sz val="11"/>
        <color theme="1"/>
        <rFont val="Calibri"/>
        <family val="2"/>
        <charset val="204"/>
        <scheme val="minor"/>
      </rPr>
      <t>Менеджеру/Специалисту по персоналу</t>
    </r>
    <r>
      <rPr>
        <sz val="11"/>
        <color theme="1"/>
        <rFont val="Calibri"/>
        <family val="2"/>
        <scheme val="minor"/>
      </rPr>
      <t xml:space="preserve"> вашего Филиала</t>
    </r>
  </si>
  <si>
    <r>
      <t xml:space="preserve">Файл состоит из 2 Листов, с которыми вы будете работать.
</t>
    </r>
    <r>
      <rPr>
        <b/>
        <sz val="11"/>
        <color theme="1"/>
        <rFont val="Calibri"/>
        <family val="2"/>
        <charset val="204"/>
        <scheme val="minor"/>
      </rPr>
      <t>1 Лист</t>
    </r>
    <r>
      <rPr>
        <sz val="11"/>
        <color theme="1"/>
        <rFont val="Calibri"/>
        <family val="2"/>
        <scheme val="minor"/>
      </rPr>
      <t xml:space="preserve"> - "</t>
    </r>
    <r>
      <rPr>
        <i/>
        <u/>
        <sz val="11"/>
        <color theme="1"/>
        <rFont val="Calibri"/>
        <family val="2"/>
        <charset val="204"/>
        <scheme val="minor"/>
      </rPr>
      <t>Шаблон Табеля</t>
    </r>
    <r>
      <rPr>
        <sz val="11"/>
        <color theme="1"/>
        <rFont val="Calibri"/>
        <family val="2"/>
        <scheme val="minor"/>
      </rPr>
      <t xml:space="preserve">", он может быть назван по-другому, в нем проводится учет рабочего времени сотрудника на протяжении месяца
</t>
    </r>
    <r>
      <rPr>
        <b/>
        <sz val="11"/>
        <color theme="1"/>
        <rFont val="Calibri"/>
        <family val="2"/>
        <charset val="204"/>
        <scheme val="minor"/>
      </rPr>
      <t xml:space="preserve">2 Лист </t>
    </r>
    <r>
      <rPr>
        <sz val="11"/>
        <color theme="1"/>
        <rFont val="Calibri"/>
        <family val="2"/>
        <scheme val="minor"/>
      </rPr>
      <t>- "</t>
    </r>
    <r>
      <rPr>
        <i/>
        <u/>
        <sz val="11"/>
        <color theme="1"/>
        <rFont val="Calibri"/>
        <family val="2"/>
        <charset val="204"/>
        <scheme val="minor"/>
      </rPr>
      <t>ШР</t>
    </r>
    <r>
      <rPr>
        <sz val="11"/>
        <color theme="1"/>
        <rFont val="Calibri"/>
        <family val="2"/>
        <scheme val="minor"/>
      </rPr>
      <t>", в него необходимо вставлять значения из Штатного расписания в строку 
Ниже представлены инструкции по работе с Листами</t>
    </r>
  </si>
  <si>
    <r>
      <t>В</t>
    </r>
    <r>
      <rPr>
        <b/>
        <sz val="11"/>
        <color theme="1"/>
        <rFont val="Calibri"/>
        <family val="2"/>
        <charset val="204"/>
        <scheme val="minor"/>
      </rPr>
      <t xml:space="preserve"> 1 Листе</t>
    </r>
    <r>
      <rPr>
        <sz val="11"/>
        <color theme="1"/>
        <rFont val="Calibri"/>
        <family val="2"/>
        <scheme val="minor"/>
      </rPr>
      <t xml:space="preserve"> - табеле есть несколько ячеек, разделяющихся по категориям доступности для редактирования</t>
    </r>
  </si>
  <si>
    <r>
      <t xml:space="preserve">Данные ячейки </t>
    </r>
    <r>
      <rPr>
        <i/>
        <u/>
        <sz val="11"/>
        <color theme="1"/>
        <rFont val="Calibri"/>
        <family val="2"/>
        <charset val="204"/>
        <scheme val="minor"/>
      </rPr>
      <t>доступны для редактирования</t>
    </r>
    <r>
      <rPr>
        <sz val="11"/>
        <color theme="1"/>
        <rFont val="Calibri"/>
        <family val="2"/>
        <scheme val="minor"/>
      </rPr>
      <t>, в них вы можете вписывать любые значения, главное, чтобы они были подходили по смыслу и задачи самой ячейки</t>
    </r>
  </si>
  <si>
    <r>
      <t xml:space="preserve">В данных ячейках вписаны формулы, они </t>
    </r>
    <r>
      <rPr>
        <i/>
        <u/>
        <sz val="11"/>
        <color theme="1"/>
        <rFont val="Calibri"/>
        <family val="2"/>
        <charset val="204"/>
        <scheme val="minor"/>
      </rPr>
      <t>находятся под защитой</t>
    </r>
    <r>
      <rPr>
        <sz val="11"/>
        <color theme="1"/>
        <rFont val="Calibri"/>
        <family val="2"/>
        <scheme val="minor"/>
      </rPr>
      <t xml:space="preserve"> в целях избежания проблем в будущем работы с файлом</t>
    </r>
  </si>
  <si>
    <r>
      <t xml:space="preserve">В данных ячейках вписаны значения, которые считаются под ними или справа от них, также </t>
    </r>
    <r>
      <rPr>
        <i/>
        <u/>
        <sz val="11"/>
        <color theme="1"/>
        <rFont val="Calibri"/>
        <family val="2"/>
        <charset val="204"/>
        <scheme val="minor"/>
      </rPr>
      <t>не доступны для редактирования</t>
    </r>
  </si>
  <si>
    <t xml:space="preserve">В третьем блоке для редактирования вам доступена зона с комментариями, в ней вы можете дать комментарий по каждому сотруднику, в случае необходимости </t>
  </si>
  <si>
    <t>-</t>
  </si>
  <si>
    <r>
      <t xml:space="preserve">Во втором блоке ведется учет отработанного времени сотрудником, для каждого сотрудника есть 3 строчки для заполнения, у каждой из них есть своя функция, которая должна заполняться в соответствии с задачей:
</t>
    </r>
    <r>
      <rPr>
        <b/>
        <sz val="11"/>
        <color theme="1"/>
        <rFont val="Calibri"/>
        <family val="2"/>
        <charset val="204"/>
        <scheme val="minor"/>
      </rPr>
      <t>Вид Времени</t>
    </r>
    <r>
      <rPr>
        <sz val="11"/>
        <color theme="1"/>
        <rFont val="Calibri"/>
        <family val="2"/>
        <scheme val="minor"/>
      </rPr>
      <t xml:space="preserve">: В данной строке вставляются значения вида времени (Я - явка, Н - Ночное время, ОТ - Отпуск и тд., ниже будет приведен перечень аббревиатур, которые могут быть использованы)
</t>
    </r>
    <r>
      <rPr>
        <b/>
        <sz val="11"/>
        <color theme="1"/>
        <rFont val="Calibri"/>
        <family val="2"/>
        <charset val="204"/>
        <scheme val="minor"/>
      </rPr>
      <t>Явка</t>
    </r>
    <r>
      <rPr>
        <sz val="11"/>
        <color theme="1"/>
        <rFont val="Calibri"/>
        <family val="2"/>
        <scheme val="minor"/>
      </rPr>
      <t xml:space="preserve">: Здесь вписывается количество отработанного времени, которое сотрудник отработал по календарю
</t>
    </r>
    <r>
      <rPr>
        <b/>
        <sz val="11"/>
        <color theme="1"/>
        <rFont val="Calibri"/>
        <family val="2"/>
        <charset val="204"/>
        <scheme val="minor"/>
      </rPr>
      <t>Ночные часы</t>
    </r>
    <r>
      <rPr>
        <sz val="11"/>
        <color theme="1"/>
        <rFont val="Calibri"/>
        <family val="2"/>
        <scheme val="minor"/>
      </rPr>
      <t>: Изначально тут стоит формула, которая определяет все ночные смены как 7 отработанных часов, но в исключительных случаях формула может быть удалена и заменена на другое значение</t>
    </r>
  </si>
  <si>
    <r>
      <rPr>
        <b/>
        <sz val="11"/>
        <color theme="1"/>
        <rFont val="Calibri"/>
        <family val="2"/>
        <charset val="204"/>
        <scheme val="minor"/>
      </rPr>
      <t>Вид Времени</t>
    </r>
    <r>
      <rPr>
        <sz val="11"/>
        <color theme="1"/>
        <rFont val="Calibri"/>
        <family val="2"/>
        <scheme val="minor"/>
      </rPr>
      <t xml:space="preserve"> (аббревиатуры):</t>
    </r>
  </si>
  <si>
    <r>
      <t xml:space="preserve">В шапке </t>
    </r>
    <r>
      <rPr>
        <b/>
        <sz val="11"/>
        <color theme="1"/>
        <rFont val="Calibri"/>
        <family val="2"/>
        <charset val="204"/>
        <scheme val="minor"/>
      </rPr>
      <t>Табеля</t>
    </r>
    <r>
      <rPr>
        <sz val="11"/>
        <color theme="1"/>
        <rFont val="Calibri"/>
        <family val="2"/>
        <scheme val="minor"/>
      </rPr>
      <t xml:space="preserve"> прописаны все значения, которые считаются, ниже, в случае возникновения вопросов прошу обращаться к </t>
    </r>
    <r>
      <rPr>
        <i/>
        <u/>
        <sz val="11"/>
        <color theme="1"/>
        <rFont val="Calibri"/>
        <family val="2"/>
        <charset val="204"/>
        <scheme val="minor"/>
      </rPr>
      <t>Менеджеру/Специалисту по персоналу</t>
    </r>
    <r>
      <rPr>
        <sz val="11"/>
        <color theme="1"/>
        <rFont val="Calibri"/>
        <family val="2"/>
        <scheme val="minor"/>
      </rPr>
      <t xml:space="preserve"> вашего Филиала</t>
    </r>
  </si>
  <si>
    <t>Работа в выходной день</t>
  </si>
  <si>
    <r>
      <t xml:space="preserve">Во </t>
    </r>
    <r>
      <rPr>
        <b/>
        <sz val="11"/>
        <color theme="1"/>
        <rFont val="Calibri"/>
        <family val="2"/>
        <charset val="204"/>
        <scheme val="minor"/>
      </rPr>
      <t>2 Листе</t>
    </r>
    <r>
      <rPr>
        <sz val="11"/>
        <color theme="1"/>
        <rFont val="Calibri"/>
        <family val="2"/>
        <scheme val="minor"/>
      </rPr>
      <t xml:space="preserve"> вставляется Штатное расписание вашего Филиала, Отдела</t>
    </r>
  </si>
  <si>
    <t>1.</t>
  </si>
  <si>
    <t>Важно!</t>
  </si>
  <si>
    <r>
      <t xml:space="preserve">Во время выходного дня </t>
    </r>
    <r>
      <rPr>
        <b/>
        <u/>
        <sz val="11"/>
        <color theme="1"/>
        <rFont val="Calibri"/>
        <family val="2"/>
        <charset val="204"/>
        <scheme val="minor"/>
      </rPr>
      <t>нельзя</t>
    </r>
    <r>
      <rPr>
        <sz val="11"/>
        <color theme="1"/>
        <rFont val="Calibri"/>
        <family val="2"/>
        <scheme val="minor"/>
      </rPr>
      <t xml:space="preserve"> ставить "ОТ" (Отпуска ежегодн.оплачиваемые или без сохранения ЗП)</t>
    </r>
  </si>
  <si>
    <t>2.</t>
  </si>
  <si>
    <t>При ночной смене сотрудника ставится только "Н" (Явка в ночную смену)</t>
  </si>
  <si>
    <t>Штатное расписание в строку вы можете найти в ЗУП - Дополнительные отчеты - Штатные сотрудники (АЛ961 изм. АЛ1301)</t>
  </si>
  <si>
    <t>3.</t>
  </si>
  <si>
    <t>Сохраняем Штатное расписание в формате Excel себе на компьютер в удобную для вас папку</t>
  </si>
  <si>
    <t>Обязательные пункты, которые должны быть у вас в отчете - №, Организация, Подразделение 1, Подразделение 2, Подразделение 3, Подразделение 4, Табельный номер, Сотрудник, Пол, Должность</t>
  </si>
  <si>
    <t>4.</t>
  </si>
  <si>
    <t>5.</t>
  </si>
  <si>
    <t>6.</t>
  </si>
  <si>
    <t>7.</t>
  </si>
  <si>
    <t>8.</t>
  </si>
  <si>
    <t>9.</t>
  </si>
  <si>
    <t>Заходим в сформированный файл</t>
  </si>
  <si>
    <r>
      <t xml:space="preserve">Сам </t>
    </r>
    <r>
      <rPr>
        <b/>
        <sz val="11"/>
        <color theme="1"/>
        <rFont val="Calibri"/>
        <family val="2"/>
        <charset val="204"/>
        <scheme val="minor"/>
      </rPr>
      <t>Табель</t>
    </r>
    <r>
      <rPr>
        <sz val="11"/>
        <color theme="1"/>
        <rFont val="Calibri"/>
        <family val="2"/>
        <scheme val="minor"/>
      </rPr>
      <t xml:space="preserve"> разделен на 3 блока (Синие кнопочки отправят вас на нужное место):</t>
    </r>
  </si>
  <si>
    <t>Заходим в данный файл Excel, который сейчас у вас открыт, на лист "ШР"</t>
  </si>
  <si>
    <t>Выделяем всю таблицу через треугольник  в левом верхнем углы таблицы, копируем</t>
  </si>
  <si>
    <t>Нажимаем также на треугольник в левом верхнем углы таблицы, вставляем</t>
  </si>
  <si>
    <t>Готово, файл готов к работе</t>
  </si>
  <si>
    <r>
      <t xml:space="preserve">В первом блоке вам необходимо вписать </t>
    </r>
    <r>
      <rPr>
        <b/>
        <sz val="11"/>
        <color theme="1"/>
        <rFont val="Calibri"/>
        <family val="2"/>
        <charset val="204"/>
        <scheme val="minor"/>
      </rPr>
      <t xml:space="preserve">ФИО сотрудника Отдела </t>
    </r>
    <r>
      <rPr>
        <sz val="11"/>
        <color theme="1"/>
        <rFont val="Calibri"/>
        <family val="2"/>
        <charset val="204"/>
        <scheme val="minor"/>
      </rPr>
      <t>путем копирования значений из Штатного расписания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и</t>
    </r>
    <r>
      <rPr>
        <b/>
        <sz val="11"/>
        <color theme="1"/>
        <rFont val="Calibri"/>
        <family val="2"/>
        <charset val="204"/>
        <scheme val="minor"/>
      </rPr>
      <t xml:space="preserve"> отчетный Месяц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</si>
  <si>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Изменение Листа со Штатным расписанием производится </t>
    </r>
    <r>
      <rPr>
        <i/>
        <u/>
        <sz val="11"/>
        <color theme="1"/>
        <rFont val="Calibri"/>
        <family val="2"/>
        <charset val="204"/>
        <scheme val="minor"/>
      </rPr>
      <t>Менеджером/Специалистом по персоналу</t>
    </r>
    <r>
      <rPr>
        <sz val="11"/>
        <color theme="1"/>
        <rFont val="Calibri"/>
        <family val="2"/>
        <scheme val="minor"/>
      </rPr>
      <t>, проводится по мере его изменения, добавление новых сотрудников и прочего</t>
    </r>
  </si>
  <si>
    <t>Дневные часы</t>
  </si>
  <si>
    <t>Якимов Олег Петрович</t>
  </si>
  <si>
    <t>Технический директор</t>
  </si>
  <si>
    <t>Делопроизводитель</t>
  </si>
  <si>
    <t>Группа обслуживания вторичного виноделия</t>
  </si>
  <si>
    <t>ТДЗК-00916</t>
  </si>
  <si>
    <t>Аликберов Рамазан Магомедович</t>
  </si>
  <si>
    <t>ТДЗК-02551</t>
  </si>
  <si>
    <t>Альдеров Исрафил Баласиевич</t>
  </si>
  <si>
    <t>ТДЗК-00744</t>
  </si>
  <si>
    <t>Беньяминов Геннадий Олегович</t>
  </si>
  <si>
    <t>ТДЗК-01942</t>
  </si>
  <si>
    <t>Гусейнов Тигран Вагидович</t>
  </si>
  <si>
    <t>ТДЗК-02543</t>
  </si>
  <si>
    <t>Попов Алексей Александрович</t>
  </si>
  <si>
    <t>ТДЗК-01374</t>
  </si>
  <si>
    <t>Рагимов Муслим Керимович</t>
  </si>
  <si>
    <t>ТДЗК-02166</t>
  </si>
  <si>
    <t>Умаров Осман Богавутдинович</t>
  </si>
  <si>
    <t>ТДЗК-02459</t>
  </si>
  <si>
    <t>Быков Артем Юрьевич</t>
  </si>
  <si>
    <t>ТДЗК-02230</t>
  </si>
  <si>
    <t>Майоров Андрей Борисович</t>
  </si>
  <si>
    <t>Техник по наладке и испытаниям</t>
  </si>
  <si>
    <t>Группа обслуживания первичного виноделия</t>
  </si>
  <si>
    <t>ТДЗК-02204</t>
  </si>
  <si>
    <t>Махмудов Курбан Сафигулахович</t>
  </si>
  <si>
    <t>ТДЗК-01790</t>
  </si>
  <si>
    <t>Гасайниев Мурад Рабаданович</t>
  </si>
  <si>
    <t>ТДЗК-02297</t>
  </si>
  <si>
    <t>Марданов Багир Юрьевич</t>
  </si>
  <si>
    <t>Группа контрактного производства</t>
  </si>
  <si>
    <t>ТДЗК-02526</t>
  </si>
  <si>
    <t>Притчин Сергей Александрович</t>
  </si>
  <si>
    <t>Ведущий инженер-механик</t>
  </si>
  <si>
    <t>ТДЗК-01984</t>
  </si>
  <si>
    <t>Шевцов Василий Евгеньевич</t>
  </si>
  <si>
    <t>ТДЗК-02205</t>
  </si>
  <si>
    <t>Абдурахманов Фазаил Субетович</t>
  </si>
  <si>
    <t>ТДЗК-01397</t>
  </si>
  <si>
    <t>Агаев Агай Гаджимурадович</t>
  </si>
  <si>
    <t>ТДЗК-01690</t>
  </si>
  <si>
    <t>Бондарев Владислав Юрьевич</t>
  </si>
  <si>
    <t>ТДЗК-02395</t>
  </si>
  <si>
    <t>Дадашев Видади Миллетович</t>
  </si>
  <si>
    <t>ТДЗК-01888</t>
  </si>
  <si>
    <t>Селимов Рустам Абдулвагабович</t>
  </si>
  <si>
    <t>Энергетический блок</t>
  </si>
  <si>
    <t>ТДЗК-01420</t>
  </si>
  <si>
    <t>Генжалиев Фаик Сафаралиевич</t>
  </si>
  <si>
    <t>Оператор энергоблока</t>
  </si>
  <si>
    <t>ТДЗК-00838</t>
  </si>
  <si>
    <t>Гусейнов Ариф Садыкович</t>
  </si>
  <si>
    <t>ТДЗК-00746</t>
  </si>
  <si>
    <t>Гусейнов Нариман Садыкович</t>
  </si>
  <si>
    <t>ТДЗК-01971</t>
  </si>
  <si>
    <t>Дадашев Насрулла Черкезович</t>
  </si>
  <si>
    <t>Группа контрольно-измерительных приборов и аппаратуры</t>
  </si>
  <si>
    <t>ТДЗК-02580</t>
  </si>
  <si>
    <t>Асланов Расул Зейнутдинович</t>
  </si>
  <si>
    <t>ТДЗК-02098</t>
  </si>
  <si>
    <t>Джабраилов Нияметдин Ифритдинович</t>
  </si>
  <si>
    <t>Инженер по контрольно-измерительным приборам и автоматике</t>
  </si>
  <si>
    <t>ТДЗК-01330</t>
  </si>
  <si>
    <t>Кадиев Нариман Хасбулаевич</t>
  </si>
  <si>
    <t>ТДЗК-02364</t>
  </si>
  <si>
    <t>Казаков Сергей Викторович</t>
  </si>
  <si>
    <t>ТДЗК-01769</t>
  </si>
  <si>
    <t>Касумбеков Аманат Османбекович</t>
  </si>
  <si>
    <t>ТДЗК-01506</t>
  </si>
  <si>
    <t>Шинкоренко Сергей Васильевич</t>
  </si>
  <si>
    <t>ТДЗК-02408</t>
  </si>
  <si>
    <t>Шлеенкин Дмитрий Александрович</t>
  </si>
  <si>
    <t>Руководитель группы контрольно-измерительных приборов и аппаратуры</t>
  </si>
  <si>
    <t>Очистные сооружения</t>
  </si>
  <si>
    <t>ТДЗК-01923</t>
  </si>
  <si>
    <t>Гасанов Руслан Гасанович</t>
  </si>
  <si>
    <t>Оператор очистных сооружений</t>
  </si>
  <si>
    <t>ТДЗК-01893</t>
  </si>
  <si>
    <t>Магомедов Заур Бабекович</t>
  </si>
  <si>
    <t>ТДЗК-01891</t>
  </si>
  <si>
    <t>Магомедов Расим Бабекович</t>
  </si>
  <si>
    <t>ТДЗК-02328</t>
  </si>
  <si>
    <t>Сурхаев Джабраил Магомедович</t>
  </si>
  <si>
    <t>ТДЗК-00098</t>
  </si>
  <si>
    <t>Рамазанов Ринат Вагифович</t>
  </si>
  <si>
    <t>Руководитель очистных сооружений</t>
  </si>
  <si>
    <t>ТДЗК-02510</t>
  </si>
  <si>
    <t>Нурмагомедова Фатимат Турачевна</t>
  </si>
  <si>
    <t>Лаборант-пробоотборщик</t>
  </si>
  <si>
    <t>ТДЗК-00664</t>
  </si>
  <si>
    <t>Аджиева Камилла Серажудиновна</t>
  </si>
  <si>
    <t>Ведущий менеджер по кадровому администрированию</t>
  </si>
  <si>
    <t>Строительно-монтажный отдел</t>
  </si>
  <si>
    <t>Монтажная группа</t>
  </si>
  <si>
    <t>ТДЗК-01904</t>
  </si>
  <si>
    <t>Акберов Видади Габибуллаевич</t>
  </si>
  <si>
    <t>Монтажник</t>
  </si>
  <si>
    <t>Строительство 08.3</t>
  </si>
  <si>
    <t>ТДЗК-00046</t>
  </si>
  <si>
    <t>Жиляев Валерий Александрович</t>
  </si>
  <si>
    <t>ТДЗК-01062</t>
  </si>
  <si>
    <t>Кокоев Жылдызбек Талипович</t>
  </si>
  <si>
    <t>ТДЗК-01478</t>
  </si>
  <si>
    <t>Мамедбеков Афис Рамизович</t>
  </si>
  <si>
    <t>ТДЗК-02100</t>
  </si>
  <si>
    <t>Мартышкин Александр Валерьевич</t>
  </si>
  <si>
    <t>Д-69</t>
  </si>
  <si>
    <t>Рабаданов Рамазан Курбанович</t>
  </si>
  <si>
    <t>ТДЗК-02198</t>
  </si>
  <si>
    <t>Рябинин Кирилл Викторович</t>
  </si>
  <si>
    <t>ТДЗК-02281</t>
  </si>
  <si>
    <t>Федулов Сергей Александрович</t>
  </si>
  <si>
    <t>ТДЗК-02528</t>
  </si>
  <si>
    <t>Хоботов Сергей Александрович</t>
  </si>
  <si>
    <t>ТДЗК-01526</t>
  </si>
  <si>
    <t>Горшков Алексей Александрович</t>
  </si>
  <si>
    <t>Сварщик-аргонщик</t>
  </si>
  <si>
    <t>Д-34</t>
  </si>
  <si>
    <t>Кадиров Раджаб Юсупович</t>
  </si>
  <si>
    <t>Д-10</t>
  </si>
  <si>
    <t>Махарадзе Данил Юрьевич</t>
  </si>
  <si>
    <t>ТДЗК-01844</t>
  </si>
  <si>
    <t>Мусаев Камалудин Шахсинович</t>
  </si>
  <si>
    <t>ТДЗК-00058</t>
  </si>
  <si>
    <t>Осипов Вячеслав Артурович</t>
  </si>
  <si>
    <t>ТДЗК-01755</t>
  </si>
  <si>
    <t>Мордовский Александр Алексеевич</t>
  </si>
  <si>
    <t>Бригадир монтажников</t>
  </si>
  <si>
    <t>ТДЗК-01931</t>
  </si>
  <si>
    <t>Казарина Нелли Владимировна</t>
  </si>
  <si>
    <t>ТДЗК-01481</t>
  </si>
  <si>
    <t>Тлебалиев Бахтияр Сансызбаевич</t>
  </si>
  <si>
    <t>Изолировщик</t>
  </si>
  <si>
    <t>ТДЗК-01528</t>
  </si>
  <si>
    <t>Тлебалиев Мерген Сансызбаевич</t>
  </si>
  <si>
    <t>ТДЗК-01276</t>
  </si>
  <si>
    <t>Бендорш Ростислав Юрьевич</t>
  </si>
  <si>
    <t>Руководитель монтажной группы</t>
  </si>
  <si>
    <t>ТДЗК-02367</t>
  </si>
  <si>
    <t>Устаров Магомед Джамалудинович</t>
  </si>
  <si>
    <t>Машинист крана</t>
  </si>
  <si>
    <t>ТДЗК-01991</t>
  </si>
  <si>
    <t>Раджабов Максим Абдулкадирович</t>
  </si>
  <si>
    <t>Машинист</t>
  </si>
  <si>
    <t>ТДЗК-02078</t>
  </si>
  <si>
    <t>Гаджибалаев Хаким Керимбаевич</t>
  </si>
  <si>
    <t>Машинист экскаватора</t>
  </si>
  <si>
    <t>ТДЗК-00977</t>
  </si>
  <si>
    <t>Эскеров Аднан Эскерович</t>
  </si>
  <si>
    <t>ТДЗК-01621</t>
  </si>
  <si>
    <t>Гасанов Камиль Мурадович</t>
  </si>
  <si>
    <t>ТДЗК-01629</t>
  </si>
  <si>
    <t>Герейханов Пирбала Тофикович</t>
  </si>
  <si>
    <t>ТДЗК-02089</t>
  </si>
  <si>
    <t>Гусейнов Вели Гусеевич</t>
  </si>
  <si>
    <t>ТДЗК-01742</t>
  </si>
  <si>
    <t>Мирзоев Ханахмед Бегахмедович</t>
  </si>
  <si>
    <t>Старший оператор</t>
  </si>
  <si>
    <t>ТДЗК-02343</t>
  </si>
  <si>
    <t>Рашидов Феликс Тельманович</t>
  </si>
  <si>
    <t>Механик</t>
  </si>
  <si>
    <t>Д-25</t>
  </si>
  <si>
    <t>Адуева Райганат Абдуллаевна</t>
  </si>
  <si>
    <t>ТДЗК-02563</t>
  </si>
  <si>
    <t>Гаджимурадова Галимат Агакеримовна</t>
  </si>
  <si>
    <t>ТДЗК-01093</t>
  </si>
  <si>
    <t>Магомедова Бинура Гюльмагомедовна</t>
  </si>
  <si>
    <t>ТДЗК-00641</t>
  </si>
  <si>
    <t>Магомедова Муминат Абдуллаевна</t>
  </si>
  <si>
    <t>ТДЗК-00687</t>
  </si>
  <si>
    <t>Муртазалиева Зоя Гасангусейновна</t>
  </si>
  <si>
    <t>ТДЗК-02577</t>
  </si>
  <si>
    <t>Нюхова Гурият Надировна</t>
  </si>
  <si>
    <t>ТДЗК-01206</t>
  </si>
  <si>
    <t>Хулатаева Умукурсум Рамазановна</t>
  </si>
  <si>
    <t>ТДЗК-01316</t>
  </si>
  <si>
    <t>Юсупова Шахгюзел Абдурахмановна</t>
  </si>
  <si>
    <t>ТДЗК-00068</t>
  </si>
  <si>
    <t>Мусаев Курбан Гаджиевич</t>
  </si>
  <si>
    <t>Д-6</t>
  </si>
  <si>
    <t>Кафаров Сурутдин Алимагомедович</t>
  </si>
  <si>
    <t>ТДЗК-02276</t>
  </si>
  <si>
    <t>Курбанов Ибрагим Пашаевич</t>
  </si>
  <si>
    <t>Садовник</t>
  </si>
  <si>
    <t>ТДЗК-01987</t>
  </si>
  <si>
    <t>Велиханов Сефихан Гаджибубаевич</t>
  </si>
  <si>
    <t>Д-12</t>
  </si>
  <si>
    <t>Изилов Равшан Алибекович</t>
  </si>
  <si>
    <t>ТДЗК-02194</t>
  </si>
  <si>
    <t>Чернов Евгений Викторович</t>
  </si>
  <si>
    <t>ТДЗК-00709</t>
  </si>
  <si>
    <t>Адамова Сайгибат Джабраиловна</t>
  </si>
  <si>
    <t>Оператор стиральных машин</t>
  </si>
  <si>
    <t>ТДЗК-01848</t>
  </si>
  <si>
    <t>Магомедов Али Шахбанович</t>
  </si>
  <si>
    <t>Водитель грузового автомобиля</t>
  </si>
  <si>
    <t>ТДЗК-02043</t>
  </si>
  <si>
    <t>Магомедов Джабраил Гусаевич</t>
  </si>
  <si>
    <t>ТДЗК-00082</t>
  </si>
  <si>
    <t>Муртазаев Алибег Велибекович</t>
  </si>
  <si>
    <t>ТДЗК-01728</t>
  </si>
  <si>
    <t>Рабаданов Курбан Гусенович</t>
  </si>
  <si>
    <t>ТДЗК-02202</t>
  </si>
  <si>
    <t>Хабиев Багатир Халирбагинович</t>
  </si>
  <si>
    <t>ТДЗК-01724</t>
  </si>
  <si>
    <t>Османов Раджаб Османович</t>
  </si>
  <si>
    <t>Столяр-отделочник</t>
  </si>
  <si>
    <t>ТДЗК-02435</t>
  </si>
  <si>
    <t>Гасантаев Магомед Амирбекович</t>
  </si>
  <si>
    <t>Тракторист</t>
  </si>
  <si>
    <t>ТДЗК-01745</t>
  </si>
  <si>
    <t>Курбанкадиев Мусагаджи Исакович</t>
  </si>
  <si>
    <t>ТДЗК-02240</t>
  </si>
  <si>
    <t>Нурбалаев Абдулкерим Абдулмеджидович</t>
  </si>
  <si>
    <t>ТДЗК-02193</t>
  </si>
  <si>
    <t>Абдулкеримова Радмила Нусретовна</t>
  </si>
  <si>
    <t>Специалист административно-хозяйственного отдела</t>
  </si>
  <si>
    <t>Группа хозяйственного обслуживания</t>
  </si>
  <si>
    <t>ТДЗК-01205</t>
  </si>
  <si>
    <t>Устарханова Перизат Акаевна</t>
  </si>
  <si>
    <t>ТДЗК-01541</t>
  </si>
  <si>
    <t>Шихмирзаева Заида Алимирзаевна</t>
  </si>
  <si>
    <t>Администратор</t>
  </si>
  <si>
    <t>Группа по капитальному строительству</t>
  </si>
  <si>
    <t>ТДЗК-01840</t>
  </si>
  <si>
    <t>Абукаров Зейнал Ярбаевич</t>
  </si>
  <si>
    <t>Рабочий по комплексному обслуживанию и ремонту зданий</t>
  </si>
  <si>
    <t>ТДЗК-02153</t>
  </si>
  <si>
    <t>Агабеков Халетдин Гюльмагомедович</t>
  </si>
  <si>
    <t>ТДЗК-02152</t>
  </si>
  <si>
    <t>Агаев Фарман Нажмутдинович</t>
  </si>
  <si>
    <t>ТДЗК-01792</t>
  </si>
  <si>
    <t>Азизов Альберт Гамидович</t>
  </si>
  <si>
    <t>ТДЗК-02450</t>
  </si>
  <si>
    <t>Асланбеков Уруджбек Умалатович</t>
  </si>
  <si>
    <t>ТДЗК-01455</t>
  </si>
  <si>
    <t>Асланов Агарагим Исрафилович</t>
  </si>
  <si>
    <t>ТДЗК-02147</t>
  </si>
  <si>
    <t>Асланов Расул Гаджимирзаевич</t>
  </si>
  <si>
    <t>ТДЗК-02264</t>
  </si>
  <si>
    <t>Асланов Шихмагомед Гаджимирзаевич</t>
  </si>
  <si>
    <t>ТДЗК-01880</t>
  </si>
  <si>
    <t>Битаев Мамедбек Магомедрасулович</t>
  </si>
  <si>
    <t>ТДЗК-02263</t>
  </si>
  <si>
    <t>Гаджимагомедов Азим Казиахмедович</t>
  </si>
  <si>
    <t>ТДЗК-01839</t>
  </si>
  <si>
    <t>Джамалов Ариф Гаджимевлютович</t>
  </si>
  <si>
    <t>ТДЗК-02262</t>
  </si>
  <si>
    <t>Изилов Фейзула Гаджикеримович</t>
  </si>
  <si>
    <t>ТДЗК-02148</t>
  </si>
  <si>
    <t>Исмаилов Сахиб Исмаилович</t>
  </si>
  <si>
    <t>ТДЗК-02570</t>
  </si>
  <si>
    <t>Казиев Казимагомед Нурмагомедович</t>
  </si>
  <si>
    <t>ТДЗК-02440</t>
  </si>
  <si>
    <t>Нафталиев Гасанали Абисалимович</t>
  </si>
  <si>
    <t>ТДЗК-01783</t>
  </si>
  <si>
    <t>Рамазанов Низамутдин Шахбанович</t>
  </si>
  <si>
    <t>ТДЗК-02150</t>
  </si>
  <si>
    <t>Халибеков Надир Ахмедович</t>
  </si>
  <si>
    <t>ТДЗК-01793</t>
  </si>
  <si>
    <t>Шихалиев Магомед Ашурбекович</t>
  </si>
  <si>
    <t>ТДЗК-02065</t>
  </si>
  <si>
    <t>Ибрагимбеков Асланбек Тагирович</t>
  </si>
  <si>
    <t>ТДЗК-02112</t>
  </si>
  <si>
    <t>Расулова Альбина Руслановна</t>
  </si>
  <si>
    <t>Специалист по учету</t>
  </si>
  <si>
    <t>Цех первичного виноделия</t>
  </si>
  <si>
    <t>ТДЗК-01229</t>
  </si>
  <si>
    <t>Алиев Марат Алиевич</t>
  </si>
  <si>
    <t>Первичное производство 20</t>
  </si>
  <si>
    <t>ТДЗК-00118</t>
  </si>
  <si>
    <t>Мамедбеков Замир Шемсуллаевич</t>
  </si>
  <si>
    <t>ТДЗК-01141</t>
  </si>
  <si>
    <t>Фролов Георгий Антонович</t>
  </si>
  <si>
    <t>ТДЗК-01464</t>
  </si>
  <si>
    <t>Алекперов Эльман Мамедович</t>
  </si>
  <si>
    <t>ТДЗК-01317</t>
  </si>
  <si>
    <t>Алиев Джамал Камалутдинович</t>
  </si>
  <si>
    <t>ТДЗК-01743</t>
  </si>
  <si>
    <t>Алимагомедов Рустам Фазаилович</t>
  </si>
  <si>
    <t>ТДЗК-01545</t>
  </si>
  <si>
    <t>Гаджиев Амиран Расимович</t>
  </si>
  <si>
    <t>ТДЗК-02304</t>
  </si>
  <si>
    <t>Гусейбеков Найиб Казибекович</t>
  </si>
  <si>
    <t>ТДЗК-02196</t>
  </si>
  <si>
    <t>Джанмирзаев Эльдар Сефагетович</t>
  </si>
  <si>
    <t>ТДЗК-02578</t>
  </si>
  <si>
    <t>Кандаев Загир Шарипович</t>
  </si>
  <si>
    <t>ТДЗК-01087</t>
  </si>
  <si>
    <t>Курбанов Курбан Магомедович</t>
  </si>
  <si>
    <t>ТДЗК-02279</t>
  </si>
  <si>
    <t>Курбанов Эфкан Эльшанович</t>
  </si>
  <si>
    <t>ТДЗК-00123</t>
  </si>
  <si>
    <t>Магомедов Гаджикурбан Рамалданович</t>
  </si>
  <si>
    <t>ТДЗК-02507</t>
  </si>
  <si>
    <t>Магомедов Гасан Магомедович</t>
  </si>
  <si>
    <t>ТДЗК-02574</t>
  </si>
  <si>
    <t>Магомедов Зураб Раджабович</t>
  </si>
  <si>
    <t>ТДЗК-02118</t>
  </si>
  <si>
    <t>Магомедов Руслан Магомедович</t>
  </si>
  <si>
    <t>ТДЗК-02496</t>
  </si>
  <si>
    <t>Махмудов Адил Саидмарифович</t>
  </si>
  <si>
    <t>ТДЗК-02494</t>
  </si>
  <si>
    <t>Махмудов Зейнула Адилович</t>
  </si>
  <si>
    <t>ТДЗК-02480</t>
  </si>
  <si>
    <t>Мердалиев Нариман Разимагомедович</t>
  </si>
  <si>
    <t>ТДЗК-01939</t>
  </si>
  <si>
    <t>Мирзабеков Мирзабек Курбанович</t>
  </si>
  <si>
    <t>ТДЗК-01902</t>
  </si>
  <si>
    <t>Мирзаханов Гасан Саламович</t>
  </si>
  <si>
    <t>ТДЗК-00646</t>
  </si>
  <si>
    <t>Мулькемиров Шихверди Эбулфетович</t>
  </si>
  <si>
    <t>ТДЗК-00717</t>
  </si>
  <si>
    <t>Муртазаев Бахтияр Алибекович</t>
  </si>
  <si>
    <t>ТДЗК-01435</t>
  </si>
  <si>
    <t>Нафталиев Тейман Алиярович</t>
  </si>
  <si>
    <t>ТДЗК-01938</t>
  </si>
  <si>
    <t>Рабаданов Али Габибуллаевич</t>
  </si>
  <si>
    <t>ТДЗК-02178</t>
  </si>
  <si>
    <t>Рабаданов Назим Алиевич</t>
  </si>
  <si>
    <t>ТДЗК-01892</t>
  </si>
  <si>
    <t>Раджабов Имам Абдуллаевич</t>
  </si>
  <si>
    <t>ТДЗК-00928</t>
  </si>
  <si>
    <t>Рамазанов Камиль Эфендиевич</t>
  </si>
  <si>
    <t>ТДЗК-02197</t>
  </si>
  <si>
    <t>Рамазанов Рамин Рамазанович</t>
  </si>
  <si>
    <t>ТДЗК-01294</t>
  </si>
  <si>
    <t>Саидалиев Артур Кайсединович</t>
  </si>
  <si>
    <t>ТДЗК-01293</t>
  </si>
  <si>
    <t>Саидов Ислам Гасанпашаевич</t>
  </si>
  <si>
    <t>ТДЗК-01903</t>
  </si>
  <si>
    <t>Фейтуллаев Марат Зейнуллаевич</t>
  </si>
  <si>
    <t>Д-45</t>
  </si>
  <si>
    <t>Кафаров Абдулкерим Насретдинович</t>
  </si>
  <si>
    <t>Мастер смены</t>
  </si>
  <si>
    <t>ТДЗК-00081</t>
  </si>
  <si>
    <t>Мирзабеков Самед Мирзабекович</t>
  </si>
  <si>
    <t>ТДЗК-00671</t>
  </si>
  <si>
    <t>Раджабов Руслан Исуфович</t>
  </si>
  <si>
    <t>Д-47</t>
  </si>
  <si>
    <t>Сеидов Шихбаба Гаждарович</t>
  </si>
  <si>
    <t>ТДЗК-02525</t>
  </si>
  <si>
    <t>Пармаклий Максим</t>
  </si>
  <si>
    <t>Ведущий технолог</t>
  </si>
  <si>
    <t>ТДЗК-02478</t>
  </si>
  <si>
    <t>Абакаров Амар Абакарович</t>
  </si>
  <si>
    <t>Обработчик винного сырья</t>
  </si>
  <si>
    <t>ТДЗК-02452</t>
  </si>
  <si>
    <t>Абдуллаев Сайдулла Сейфуллахович</t>
  </si>
  <si>
    <t>ТДЗК-02453</t>
  </si>
  <si>
    <t>Абдурахманов Гаджирамазан Минхажутдинович</t>
  </si>
  <si>
    <t>ТДЗК-02398</t>
  </si>
  <si>
    <t>Агададашов Руслан Гюльахмедович</t>
  </si>
  <si>
    <t>ТДЗК-02399</t>
  </si>
  <si>
    <t>Агаев Джалалитдин Валидович</t>
  </si>
  <si>
    <t>ТДЗК-02410</t>
  </si>
  <si>
    <t>Гаджиев Абдулгамид Магомедович</t>
  </si>
  <si>
    <t>ТДЗК-02414</t>
  </si>
  <si>
    <t>Гасанов Муалиф Фатилович</t>
  </si>
  <si>
    <t>ТДЗК-02451</t>
  </si>
  <si>
    <t>Загирбеков Чупан Асланович</t>
  </si>
  <si>
    <t>ТДЗК-02552</t>
  </si>
  <si>
    <t>Зенгиев Адам Саладинович</t>
  </si>
  <si>
    <t>ТДЗК-02564</t>
  </si>
  <si>
    <t>Ибрагимов Арвид Ибрагимович</t>
  </si>
  <si>
    <t>ТДЗК-02521</t>
  </si>
  <si>
    <t>Мирзоев Камиль Ровшанович</t>
  </si>
  <si>
    <t>ТДЗК-02393</t>
  </si>
  <si>
    <t>Насыров Темирлан Зиявутдинович</t>
  </si>
  <si>
    <t>ТДЗК-02419</t>
  </si>
  <si>
    <t>Омаров Салатдин Сиражутдинович</t>
  </si>
  <si>
    <t>ТДЗК-02479</t>
  </si>
  <si>
    <t>Сефербеков Рамил Гасаналиевич</t>
  </si>
  <si>
    <t>ТДЗК-02559</t>
  </si>
  <si>
    <t>Сулейманов Тажутдин Алиэвсетович</t>
  </si>
  <si>
    <t>ТДЗК-02394</t>
  </si>
  <si>
    <t>Ферхатов Акиф Гаджиевич</t>
  </si>
  <si>
    <t>ТДЗК-02556</t>
  </si>
  <si>
    <t>Шихрагимов Альберт Амирович</t>
  </si>
  <si>
    <t>Цех вторичного виноделия</t>
  </si>
  <si>
    <t>ТДЗК-02042</t>
  </si>
  <si>
    <t>Авсетов Шейхсаид Расулович</t>
  </si>
  <si>
    <t>ТДЗК-01962</t>
  </si>
  <si>
    <t>Ашурбекова Махбуба Манафовна</t>
  </si>
  <si>
    <t>ТДЗК-02583</t>
  </si>
  <si>
    <t>Гашимов Ильдар Геннадийевич</t>
  </si>
  <si>
    <t>ТДЗК-01671</t>
  </si>
  <si>
    <t>Рабаданов Руслан Магомедович</t>
  </si>
  <si>
    <t>ТДЗК-01647</t>
  </si>
  <si>
    <t>Яхьяев Яхья Магомедович</t>
  </si>
  <si>
    <t>ТДЗК-01160</t>
  </si>
  <si>
    <t>Гаджимурадов Руслан Саламович</t>
  </si>
  <si>
    <t>ТДЗК-00742</t>
  </si>
  <si>
    <t>Курбанов Магомед Ахмедович</t>
  </si>
  <si>
    <t>ТДЗК-02003</t>
  </si>
  <si>
    <t>Нафталиев Мирзали Алиярович</t>
  </si>
  <si>
    <t>ТДЗК-01280</t>
  </si>
  <si>
    <t>Султанов Вадим Закирович</t>
  </si>
  <si>
    <t>Цех игристых вин</t>
  </si>
  <si>
    <t>ТДЗК-02102</t>
  </si>
  <si>
    <t>Магомедов Рамазан Абдуллаевич</t>
  </si>
  <si>
    <t>ТДЗК-02040</t>
  </si>
  <si>
    <t>Османов Низам Назимович</t>
  </si>
  <si>
    <t>ТДЗК-01230</t>
  </si>
  <si>
    <t>Рабаданов Курбан Хидирбекович</t>
  </si>
  <si>
    <t>ТДЗК-00970</t>
  </si>
  <si>
    <t>Седирова Шамала Эрзиевна</t>
  </si>
  <si>
    <t>ТДЗК-01484</t>
  </si>
  <si>
    <t>Сулейманов Назим Сиражутинович</t>
  </si>
  <si>
    <t>ТДЗК-01267</t>
  </si>
  <si>
    <t>Телешко Виктория Николаевна</t>
  </si>
  <si>
    <t>ТДЗК-02160</t>
  </si>
  <si>
    <t>Гасанова Аида</t>
  </si>
  <si>
    <t>ТДЗК-01268</t>
  </si>
  <si>
    <t>Джамалова Раида Джамаловна</t>
  </si>
  <si>
    <t>ТДЗК-01986</t>
  </si>
  <si>
    <t>Шебашова Анастасия Валерьевна</t>
  </si>
  <si>
    <t>ТДЗК-02501</t>
  </si>
  <si>
    <t>Атякова Анна Андреевна</t>
  </si>
  <si>
    <t>Инженер-микробиолог</t>
  </si>
  <si>
    <t>ТДЗК-02491</t>
  </si>
  <si>
    <t>Магомедова Нурият Гусеновна</t>
  </si>
  <si>
    <t>ТДЗК-01994</t>
  </si>
  <si>
    <t>Михадюк Татьяна Александровна</t>
  </si>
  <si>
    <t>ТДЗК-01479</t>
  </si>
  <si>
    <t>Шестакова Светлана Владимировна</t>
  </si>
  <si>
    <t>ТДЗК-01133</t>
  </si>
  <si>
    <t>Ибрагимова Дияна Исаметдиновна</t>
  </si>
  <si>
    <t>ТДЗК-01581</t>
  </si>
  <si>
    <t>Иманалиева Тамара Вагидовна</t>
  </si>
  <si>
    <t>ТДЗК-01037</t>
  </si>
  <si>
    <t>Эскерова Инжи Рамисовна</t>
  </si>
  <si>
    <t>ТДЗК-01189</t>
  </si>
  <si>
    <t>Захарова Мария Олеговна</t>
  </si>
  <si>
    <t>ТДЗК-01582</t>
  </si>
  <si>
    <t>Исмаилова Лиана Тимуровна</t>
  </si>
  <si>
    <t>ТДЗК-01889</t>
  </si>
  <si>
    <t>Исмаилова Нарима Аддухановна</t>
  </si>
  <si>
    <t>ТДЗК-01657</t>
  </si>
  <si>
    <t>Оруджева Лейла Гаджигаибовна</t>
  </si>
  <si>
    <t>ТДЗК-01518</t>
  </si>
  <si>
    <t>Султанова Гюлли Султановна</t>
  </si>
  <si>
    <t>ТДЗК-01424</t>
  </si>
  <si>
    <t>Умарханова Гюлистан Умархановна</t>
  </si>
  <si>
    <t>ТДЗК-02291</t>
  </si>
  <si>
    <t>Гасанова Раида Эльмановна</t>
  </si>
  <si>
    <t>ТДЗК-02505</t>
  </si>
  <si>
    <t>Запускалов Игорь Александрович</t>
  </si>
  <si>
    <t>ТДЗК-02534</t>
  </si>
  <si>
    <t>Щусь Юлия Валерьевна</t>
  </si>
  <si>
    <t>Руководитель направления контроля качества</t>
  </si>
  <si>
    <t>ТДЗК-00137</t>
  </si>
  <si>
    <t>Расулов Ансар Фахратдинович</t>
  </si>
  <si>
    <t>Руководитель склада</t>
  </si>
  <si>
    <t>ТДЗК-00971</t>
  </si>
  <si>
    <t>Бабаев Исмаил Валиевич</t>
  </si>
  <si>
    <t>ТДЗК-00900</t>
  </si>
  <si>
    <t>Иманалиев Анвар Яралиевич</t>
  </si>
  <si>
    <t>ТДЗК-00985</t>
  </si>
  <si>
    <t>Магомедов Муслим Гаджиевич</t>
  </si>
  <si>
    <t>ТДЗК-00962</t>
  </si>
  <si>
    <t>Эмирханов Ренат Аскерович</t>
  </si>
  <si>
    <t>ТДЗК-00935</t>
  </si>
  <si>
    <t>Мусаева Зарема Файзиловна</t>
  </si>
  <si>
    <t>ТДЗК-01548</t>
  </si>
  <si>
    <t>Абдуллаев Экпер Расимович</t>
  </si>
  <si>
    <t>ТДЗК-01967</t>
  </si>
  <si>
    <t>Алибеков Раул Халилович</t>
  </si>
  <si>
    <t>ТДЗК-02097</t>
  </si>
  <si>
    <t>Гаджиев Расим Ашурбегович</t>
  </si>
  <si>
    <t>ТДЗК-02107</t>
  </si>
  <si>
    <t>Керимов Эрлан Тегранович</t>
  </si>
  <si>
    <t>ТДЗК-01408</t>
  </si>
  <si>
    <t>Курбанов Магомед Османович</t>
  </si>
  <si>
    <t>ТДЗК-01660</t>
  </si>
  <si>
    <t>Рашидов Шамсулла Зейнетдинович</t>
  </si>
  <si>
    <t>ТДЗК-01970</t>
  </si>
  <si>
    <t>Шихалиев Физули Афлетдинович</t>
  </si>
  <si>
    <t>ТДЗК-02280</t>
  </si>
  <si>
    <t>Гаджиев Тимур Мурадович</t>
  </si>
  <si>
    <t>ТДЗК-01286</t>
  </si>
  <si>
    <t>Гюлечов Ризван Абдулбасирович</t>
  </si>
  <si>
    <t>ТДЗК-01098</t>
  </si>
  <si>
    <t>Гюльбалаев Эльмар Джавадханович</t>
  </si>
  <si>
    <t>ТДЗК-00711</t>
  </si>
  <si>
    <t>Ризаев Азим Тимурович</t>
  </si>
  <si>
    <t>ТДЗК-01131</t>
  </si>
  <si>
    <t>Бабаев Вадим Нурудинович</t>
  </si>
  <si>
    <t>ТДЗК-00957</t>
  </si>
  <si>
    <t>Керимов Гаджимирза Мугутдинович</t>
  </si>
  <si>
    <t>ТДЗК-01876</t>
  </si>
  <si>
    <t>Нурмагомедова Сельми Гусайниевна</t>
  </si>
  <si>
    <t>ТДЗК-01116</t>
  </si>
  <si>
    <t>Султанов Рамин Арабханович</t>
  </si>
  <si>
    <t>ТДЗК-02389</t>
  </si>
  <si>
    <t>Ферзиев Арсен Реманович</t>
  </si>
  <si>
    <t>ТДЗК-00918</t>
  </si>
  <si>
    <t>Ибрагимов Нариман Айдинбекович</t>
  </si>
  <si>
    <t>ТДЗК-01227</t>
  </si>
  <si>
    <t>Горбачева Марина Витальевна</t>
  </si>
  <si>
    <t>ТДЗК-00925</t>
  </si>
  <si>
    <t>Бабаева Назиля Юсуфовна</t>
  </si>
  <si>
    <t>ТДЗК-01005</t>
  </si>
  <si>
    <t>Иманалиев Загир Зебюллаевич</t>
  </si>
  <si>
    <t>ТДЗК-01400</t>
  </si>
  <si>
    <t>Лебедь Алла Анатольевна</t>
  </si>
  <si>
    <t>ТДЗК-02227</t>
  </si>
  <si>
    <t>Абдулкадиров Абдулкадыр Адамович</t>
  </si>
  <si>
    <t>ТДЗК-01502</t>
  </si>
  <si>
    <t>Абдурагимов Шихзада Казимирович</t>
  </si>
  <si>
    <t>ТДЗК-01695</t>
  </si>
  <si>
    <t>Алиев Хаям Джабирович</t>
  </si>
  <si>
    <t>ТДЗК-02222</t>
  </si>
  <si>
    <t>Ашурбеков Амир Исамутдинович</t>
  </si>
  <si>
    <t>ТДЗК-01740</t>
  </si>
  <si>
    <t>Гаджимагомедова Аида Амирхановна</t>
  </si>
  <si>
    <t>ТДЗК-00915</t>
  </si>
  <si>
    <t>Исмаилова Мария Вагидовна</t>
  </si>
  <si>
    <t>ТДЗК-02385</t>
  </si>
  <si>
    <t>Керимов Разим Фехретдинович</t>
  </si>
  <si>
    <t>ТДЗК-00914</t>
  </si>
  <si>
    <t>Курбанова Эсмира Бинедиевна</t>
  </si>
  <si>
    <t>ТДЗК-01026</t>
  </si>
  <si>
    <t>Магомедов Ислам Магомедович</t>
  </si>
  <si>
    <t>ТДЗК-02231</t>
  </si>
  <si>
    <t>Нурова Марина Селимхановна</t>
  </si>
  <si>
    <t>ТДЗК-01611</t>
  </si>
  <si>
    <t>Османова Рукият Магомедэминовна</t>
  </si>
  <si>
    <t>ТДЗК-01327</t>
  </si>
  <si>
    <t>Саидова Саират Муртазалиевна</t>
  </si>
  <si>
    <t>ТДЗК-02077</t>
  </si>
  <si>
    <t>Учакаев Аслан Имануллаевич</t>
  </si>
  <si>
    <t>ТДЗК-02460</t>
  </si>
  <si>
    <t>Маллалиев Сабир Зейнутдинович</t>
  </si>
  <si>
    <t>ТДЗК-01240</t>
  </si>
  <si>
    <t>Абдурахманов Керимхан Назимович</t>
  </si>
  <si>
    <t>ТДЗК-02345</t>
  </si>
  <si>
    <t>Алиев Магомедали Афизович</t>
  </si>
  <si>
    <t>ТДЗК-02224</t>
  </si>
  <si>
    <t>Гасанов Арсен Бахтиярович</t>
  </si>
  <si>
    <t>ТДЗК-02530</t>
  </si>
  <si>
    <t>Гашимов Вараз Шарафутдинович</t>
  </si>
  <si>
    <t>ТДЗК-01092</t>
  </si>
  <si>
    <t>Иманалиев Тагир Шемсуллаевич</t>
  </si>
  <si>
    <t>ТДЗК-01682</t>
  </si>
  <si>
    <t>Исаков Фарид Нежефович</t>
  </si>
  <si>
    <t>ТДЗК-02495</t>
  </si>
  <si>
    <t>Мамедбеков Фикрет Афисович</t>
  </si>
  <si>
    <t>ТДЗК-00126</t>
  </si>
  <si>
    <t>Сейидов Икрам Эстенгерович</t>
  </si>
  <si>
    <t>ТДЗК-01296</t>
  </si>
  <si>
    <t>Тимиров Эдуард Гусейнович</t>
  </si>
  <si>
    <t>ТДЗК-02226</t>
  </si>
  <si>
    <t>Фейтуллаев Амин Зейнуллаевич</t>
  </si>
  <si>
    <t>ТДЗК-02220</t>
  </si>
  <si>
    <t>Шамсиев Икрам Ниязутдинович</t>
  </si>
  <si>
    <t>Количество дней и часов</t>
  </si>
  <si>
    <t>Календарные дни</t>
  </si>
  <si>
    <t>Рабочие дни</t>
  </si>
  <si>
    <t>Выходные и праздничные дни</t>
  </si>
  <si>
    <t>при 36-часовой рабочей неделе</t>
  </si>
  <si>
    <t>при 24-часовой рабочей неделе</t>
  </si>
  <si>
    <t>при 40-часовой рабочей неделе</t>
  </si>
  <si>
    <t>1 кв</t>
  </si>
  <si>
    <t>2 кв</t>
  </si>
  <si>
    <t>3 кв</t>
  </si>
  <si>
    <t>4 кв</t>
  </si>
  <si>
    <t>ТДЗК-02609</t>
  </si>
  <si>
    <t>Тучин Дмитрий Павлович</t>
  </si>
  <si>
    <t>ТДЗК-02600</t>
  </si>
  <si>
    <t>Амельченко Сергей Николаевич</t>
  </si>
  <si>
    <t>ТДЗК-02603</t>
  </si>
  <si>
    <t>ТДЗК-02587</t>
  </si>
  <si>
    <t>Абдурахманов Видади Магомедович</t>
  </si>
  <si>
    <t>ТДЗК-02615</t>
  </si>
  <si>
    <t>Алибеков Новрузбек Эмрамович</t>
  </si>
  <si>
    <t>ТДЗК-02594</t>
  </si>
  <si>
    <t>Ахундов Гусейн Адилович</t>
  </si>
  <si>
    <t>ТДЗК-02588</t>
  </si>
  <si>
    <t>Бабаева Наиле Нусретовна</t>
  </si>
  <si>
    <t>ТДЗК-02613</t>
  </si>
  <si>
    <t>Курбанов Ахмед Хасбулатович</t>
  </si>
  <si>
    <t>Подразделение 4</t>
  </si>
  <si>
    <t>Подразделение5</t>
  </si>
  <si>
    <t>Дата приема</t>
  </si>
  <si>
    <t>Состояние</t>
  </si>
  <si>
    <t>24.02.2025</t>
  </si>
  <si>
    <t>Работа</t>
  </si>
  <si>
    <t>02.06.2025</t>
  </si>
  <si>
    <t>08.02.2023</t>
  </si>
  <si>
    <t>23.09.2025</t>
  </si>
  <si>
    <t>05.10.2022</t>
  </si>
  <si>
    <t>25.11.2024</t>
  </si>
  <si>
    <t>16.09.2025</t>
  </si>
  <si>
    <t>18.10.2023</t>
  </si>
  <si>
    <t>16.04.2025</t>
  </si>
  <si>
    <t>18.08.2025</t>
  </si>
  <si>
    <t>26.05.2025</t>
  </si>
  <si>
    <t>12.05.2025</t>
  </si>
  <si>
    <t>26.08.2024</t>
  </si>
  <si>
    <t>20.06.2025</t>
  </si>
  <si>
    <t>08.09.2025</t>
  </si>
  <si>
    <t>13.01.2025</t>
  </si>
  <si>
    <t>01.11.2023</t>
  </si>
  <si>
    <t>24.06.2024</t>
  </si>
  <si>
    <t>01.08.2025</t>
  </si>
  <si>
    <t>21.10.2024</t>
  </si>
  <si>
    <t>29.11.2023</t>
  </si>
  <si>
    <t>12.12.2022</t>
  </si>
  <si>
    <t>06.10.2022</t>
  </si>
  <si>
    <t>19.12.2024</t>
  </si>
  <si>
    <t>06.10.2025</t>
  </si>
  <si>
    <t>25.09.2023</t>
  </si>
  <si>
    <t>16.07.2025</t>
  </si>
  <si>
    <t>13.08.2024</t>
  </si>
  <si>
    <t>Болезнь</t>
  </si>
  <si>
    <t>28.02.2024</t>
  </si>
  <si>
    <t>04.08.2025</t>
  </si>
  <si>
    <t>06.03.2025</t>
  </si>
  <si>
    <t>05.11.2025</t>
  </si>
  <si>
    <t>11.11.2024</t>
  </si>
  <si>
    <t>01.07.2025</t>
  </si>
  <si>
    <t>29.07.2022</t>
  </si>
  <si>
    <t>01.09.2025</t>
  </si>
  <si>
    <t>06.09.2022</t>
  </si>
  <si>
    <t>01.09.2023</t>
  </si>
  <si>
    <t>Отпуск основной</t>
  </si>
  <si>
    <t>30.10.2024</t>
  </si>
  <si>
    <t>26.04.2022</t>
  </si>
  <si>
    <t>10.05.2023</t>
  </si>
  <si>
    <t>08.02.2024</t>
  </si>
  <si>
    <t>22.02.2022</t>
  </si>
  <si>
    <t>Трудовой договор приостановлен</t>
  </si>
  <si>
    <t>05.05.2025</t>
  </si>
  <si>
    <t>10.06.2025</t>
  </si>
  <si>
    <t>12.03.2024</t>
  </si>
  <si>
    <t>26.07.2021</t>
  </si>
  <si>
    <t>07.04.2021</t>
  </si>
  <si>
    <t>25.09.2024</t>
  </si>
  <si>
    <t>27.10.2025</t>
  </si>
  <si>
    <t>09.06.2022</t>
  </si>
  <si>
    <t>01.08.2024</t>
  </si>
  <si>
    <t>18.11.2024</t>
  </si>
  <si>
    <t>09.02.2024</t>
  </si>
  <si>
    <t>15.03.2024</t>
  </si>
  <si>
    <t>Отпуск учебный неоплачиваемый</t>
  </si>
  <si>
    <t>17.07.2025</t>
  </si>
  <si>
    <t>16.01.2025</t>
  </si>
  <si>
    <t>18.02.2025</t>
  </si>
  <si>
    <t>13.03.2023</t>
  </si>
  <si>
    <t>29.05.2024</t>
  </si>
  <si>
    <t>03.06.2024</t>
  </si>
  <si>
    <t>23.07.2024</t>
  </si>
  <si>
    <t>09.07.2025</t>
  </si>
  <si>
    <t>01.07.2021</t>
  </si>
  <si>
    <t>25.09.2025</t>
  </si>
  <si>
    <t>26.05.2023</t>
  </si>
  <si>
    <t>29.08.2022</t>
  </si>
  <si>
    <t>12.09.2022</t>
  </si>
  <si>
    <t>01.10.2025</t>
  </si>
  <si>
    <t>09.08.2023</t>
  </si>
  <si>
    <t>19.09.2023</t>
  </si>
  <si>
    <t>30.06.2022</t>
  </si>
  <si>
    <t>01.03.2021</t>
  </si>
  <si>
    <t>09.06.2025</t>
  </si>
  <si>
    <t>09.01.2025</t>
  </si>
  <si>
    <t>26.04.2021</t>
  </si>
  <si>
    <t>08.08.2025</t>
  </si>
  <si>
    <t>20.09.2022</t>
  </si>
  <si>
    <t>30.09.2024</t>
  </si>
  <si>
    <t>05.02.2025</t>
  </si>
  <si>
    <t>15.07.2024</t>
  </si>
  <si>
    <t>25.07.2024</t>
  </si>
  <si>
    <t>29.05.2025</t>
  </si>
  <si>
    <t>01.11.2025</t>
  </si>
  <si>
    <t>01.04.2024</t>
  </si>
  <si>
    <t>23.09.2024</t>
  </si>
  <si>
    <t>09.04.2025</t>
  </si>
  <si>
    <t>14.08.2025</t>
  </si>
  <si>
    <t>11.01.2024</t>
  </si>
  <si>
    <t>Отпуск неоплачиваемый по разрешению работодателя</t>
  </si>
  <si>
    <t>18.10.2024</t>
  </si>
  <si>
    <t>30.09.2025</t>
  </si>
  <si>
    <t>12.08.2025</t>
  </si>
  <si>
    <t>23.08.2024</t>
  </si>
  <si>
    <t>27.08.2024</t>
  </si>
  <si>
    <t>12.02.2025</t>
  </si>
  <si>
    <t>01.03.2024</t>
  </si>
  <si>
    <t>17.03.2025</t>
  </si>
  <si>
    <t>16.08.2023</t>
  </si>
  <si>
    <t>02.08.2022</t>
  </si>
  <si>
    <t>ТДЗК-02640</t>
  </si>
  <si>
    <t>Раби Николас Себастьян</t>
  </si>
  <si>
    <t>Главный технолог</t>
  </si>
  <si>
    <t>12.12.2025</t>
  </si>
  <si>
    <t>24.01.2024</t>
  </si>
  <si>
    <t>24.07.2024</t>
  </si>
  <si>
    <t>02.04.2024</t>
  </si>
  <si>
    <t>24.06.2025</t>
  </si>
  <si>
    <t>15.08.2025</t>
  </si>
  <si>
    <t>22.05.2023</t>
  </si>
  <si>
    <t>04.08.2022</t>
  </si>
  <si>
    <t>21.03.2025</t>
  </si>
  <si>
    <t>21.11.2024</t>
  </si>
  <si>
    <t>05.09.2025</t>
  </si>
  <si>
    <t>31.08.2022</t>
  </si>
  <si>
    <t>14.07.2022</t>
  </si>
  <si>
    <t>21.09.2022</t>
  </si>
  <si>
    <t>13.12.2023</t>
  </si>
  <si>
    <t>05.08.2025</t>
  </si>
  <si>
    <t>16.07.2024</t>
  </si>
  <si>
    <t>23.04.2025</t>
  </si>
  <si>
    <t>13.02.2023</t>
  </si>
  <si>
    <t>08.09.2023</t>
  </si>
  <si>
    <t>20.08.2025</t>
  </si>
  <si>
    <t>01.09.2021</t>
  </si>
  <si>
    <t>13.07.2022</t>
  </si>
  <si>
    <t>03.02.2025</t>
  </si>
  <si>
    <t>03.12.2024</t>
  </si>
  <si>
    <t>10.10.2025</t>
  </si>
  <si>
    <t>24.09.2025</t>
  </si>
  <si>
    <t>18.06.2024</t>
  </si>
  <si>
    <t>07.06.2024</t>
  </si>
  <si>
    <t>10.07.2023</t>
  </si>
  <si>
    <t>04.10.2022</t>
  </si>
  <si>
    <t>27.01.2025</t>
  </si>
  <si>
    <t>05.09.2023</t>
  </si>
  <si>
    <t>22.09.2025</t>
  </si>
  <si>
    <t>ТДЗК-02643</t>
  </si>
  <si>
    <t>Егоров Кирилл Лериевич</t>
  </si>
  <si>
    <t>19.12.2025</t>
  </si>
  <si>
    <t>13.10.2025</t>
  </si>
  <si>
    <t>10.03.2025</t>
  </si>
  <si>
    <t>06.03.2023</t>
  </si>
  <si>
    <t>31.08.2023</t>
  </si>
  <si>
    <t>14.04.2025</t>
  </si>
  <si>
    <t>17.06.2025</t>
  </si>
  <si>
    <t>29.08.2025</t>
  </si>
  <si>
    <t>25.08.2025</t>
  </si>
  <si>
    <t>17.01.2025</t>
  </si>
  <si>
    <t>07.02.2024</t>
  </si>
  <si>
    <t>14.06.2023</t>
  </si>
  <si>
    <t>Отпуск по уходу за ребенком</t>
  </si>
  <si>
    <t>02.05.2024</t>
  </si>
  <si>
    <t>17.04.2023</t>
  </si>
  <si>
    <t>Отпуск по беременности и родам</t>
  </si>
  <si>
    <t>24.07.2023</t>
  </si>
  <si>
    <t>11.06.2024</t>
  </si>
  <si>
    <t>04.03.2024</t>
  </si>
  <si>
    <t>Отпуск учебный оплачиваемый</t>
  </si>
  <si>
    <t>02.12.2023</t>
  </si>
  <si>
    <t>ТДЗК-02644</t>
  </si>
  <si>
    <t>Батырова Марина Таймуразовна</t>
  </si>
  <si>
    <t>Руководитель лаборатории контроля качества</t>
  </si>
  <si>
    <t>10.11.2025</t>
  </si>
  <si>
    <t>10.09.2025</t>
  </si>
  <si>
    <t>Младший инженер-химик</t>
  </si>
  <si>
    <t>21.06.2023</t>
  </si>
  <si>
    <t>09.08.2022</t>
  </si>
  <si>
    <t>07.03.2023</t>
  </si>
  <si>
    <t>31.01.2023</t>
  </si>
  <si>
    <t>15.03.2023</t>
  </si>
  <si>
    <t>16.02.2023</t>
  </si>
  <si>
    <t>08.04.2024</t>
  </si>
  <si>
    <t>16.12.2024</t>
  </si>
  <si>
    <t>21.10.2025</t>
  </si>
  <si>
    <t>20.05.2025</t>
  </si>
  <si>
    <t>03.03.2025</t>
  </si>
  <si>
    <t>13.11.2023</t>
  </si>
  <si>
    <t>13.06.2024</t>
  </si>
  <si>
    <t>06.09.2023</t>
  </si>
  <si>
    <t>30.05.2023</t>
  </si>
  <si>
    <t>13.06.2023</t>
  </si>
  <si>
    <t>01.03.2023</t>
  </si>
  <si>
    <t>14.10.2024</t>
  </si>
  <si>
    <t>06.06.2023</t>
  </si>
  <si>
    <t>09.02.2023</t>
  </si>
  <si>
    <t>03.04.2023</t>
  </si>
  <si>
    <t>03.11.2023</t>
  </si>
  <si>
    <t>21.05.2025</t>
  </si>
  <si>
    <t>26.06.2024</t>
  </si>
  <si>
    <t>14.10.2025</t>
  </si>
  <si>
    <t>03.10.2025</t>
  </si>
  <si>
    <t>30.07.2025</t>
  </si>
  <si>
    <t>24.04.2023</t>
  </si>
  <si>
    <t>ТДЗК-02655</t>
  </si>
  <si>
    <t>Магомедов Рамазан Нажмутдинович</t>
  </si>
  <si>
    <t>23.12.2025</t>
  </si>
  <si>
    <t>26.08.2025</t>
  </si>
  <si>
    <t>21.08.2025</t>
  </si>
  <si>
    <t>22.05.2024</t>
  </si>
  <si>
    <t>ТДЗК-02661</t>
  </si>
  <si>
    <t>Саидов Саид Шахвеледович</t>
  </si>
  <si>
    <t>12.01.2026</t>
  </si>
  <si>
    <t>17.02.2025</t>
  </si>
  <si>
    <t>21.08.2023</t>
  </si>
  <si>
    <t>10.07.2025</t>
  </si>
  <si>
    <t>09.09.2025</t>
  </si>
  <si>
    <t>24.05.2023</t>
  </si>
  <si>
    <t>21.06.2024</t>
  </si>
  <si>
    <t>11.09.2023</t>
  </si>
  <si>
    <t>19.05.2025</t>
  </si>
  <si>
    <t>ТДЗК-02060</t>
  </si>
  <si>
    <t>Ковылкин Илья Олегович</t>
  </si>
  <si>
    <t>06.02.2025</t>
  </si>
  <si>
    <t>ТДЗК-02520</t>
  </si>
  <si>
    <t>Ибарра Камачо Роберто</t>
  </si>
  <si>
    <t>Главный технолог направления Ром</t>
  </si>
  <si>
    <t>Отделение дистилляции</t>
  </si>
  <si>
    <t>ТДЗК-01989</t>
  </si>
  <si>
    <t>Алихасов Техран Булгадарович</t>
  </si>
  <si>
    <t>Аппаратчик перегонки спирта</t>
  </si>
  <si>
    <t>&lt;Объект не найден&gt; (320:90d634735aa58d6511efd251e1523fe1)</t>
  </si>
  <si>
    <t>ТДЗК-01997</t>
  </si>
  <si>
    <t>Халилов Эльшад Самеддинович</t>
  </si>
  <si>
    <t>20.01.2025</t>
  </si>
  <si>
    <t>ТДЗК-00926</t>
  </si>
  <si>
    <t>Шамхалов Арслан Касимович</t>
  </si>
  <si>
    <t>ТДЗК-02139</t>
  </si>
  <si>
    <t>01.04.2025</t>
  </si>
  <si>
    <t>ТДЗК-02581</t>
  </si>
  <si>
    <t>ТДЗК-02056</t>
  </si>
  <si>
    <t>04.02.2025</t>
  </si>
  <si>
    <t>ТДЗК-02388</t>
  </si>
  <si>
    <t>31.07.2025</t>
  </si>
  <si>
    <t>ТДЗК-02053</t>
  </si>
  <si>
    <t>ТДЗК-02055</t>
  </si>
  <si>
    <t>ТДЗК-02409</t>
  </si>
  <si>
    <t>ТДЗК-01764</t>
  </si>
  <si>
    <t>Алибеков Артур Низамиевич</t>
  </si>
  <si>
    <t>&lt;Объект не найден&gt; (320:90d634735aa58d6511efdfab5c8ead2f)</t>
  </si>
  <si>
    <t>07.08.2024</t>
  </si>
  <si>
    <t>ТДЗК-00085</t>
  </si>
  <si>
    <t>Джалилов Тажудин Абдулнатифович</t>
  </si>
  <si>
    <t>ТДЗК-02338</t>
  </si>
  <si>
    <t>Зейфуллаев Магомед Найбуллаевич</t>
  </si>
  <si>
    <t>04.07.2025</t>
  </si>
  <si>
    <t>ТДЗК-01705</t>
  </si>
  <si>
    <t>Рамазанов Мурад Абдулманафович</t>
  </si>
  <si>
    <t>02.07.2024</t>
  </si>
  <si>
    <t>ТДЗК-02049</t>
  </si>
  <si>
    <t>ТДЗК-02206</t>
  </si>
  <si>
    <t>&lt;Объект не найден&gt; (320:90d634735aa58d6511efdfaa8677ffa3)</t>
  </si>
  <si>
    <t>ТДЗК-02050</t>
  </si>
  <si>
    <t>ТДЗК-02052</t>
  </si>
  <si>
    <t>ТДЗК-02090</t>
  </si>
  <si>
    <t>ТДЗК-01776</t>
  </si>
  <si>
    <t>Гасратов Алевсет Алевсетович</t>
  </si>
  <si>
    <t>Оператор котельной</t>
  </si>
  <si>
    <t>&lt;Объект не найден&gt; (320:90d634735aa58d6511efdfaa1cec1ad6)</t>
  </si>
  <si>
    <t>16.08.2024</t>
  </si>
  <si>
    <t>ТДЗК-01774</t>
  </si>
  <si>
    <t>Джалилов Сиражутдин Абдулнатифович</t>
  </si>
  <si>
    <t>ТДЗК-01766</t>
  </si>
  <si>
    <t>Магарамов Асамудин Давудович</t>
  </si>
  <si>
    <t>08.08.2024</t>
  </si>
  <si>
    <t>ТДЗК-02082</t>
  </si>
  <si>
    <t>Раджабов Риза Сабирович</t>
  </si>
  <si>
    <t>ТДЗК-02054</t>
  </si>
  <si>
    <t>ТДЗК-02057</t>
  </si>
  <si>
    <t>ТДЗК-02059</t>
  </si>
  <si>
    <t>ТДЗК-02058</t>
  </si>
  <si>
    <t>Руководитель Отдела ЕГАИС</t>
  </si>
  <si>
    <t>Оператор ЕГАИС</t>
  </si>
  <si>
    <t xml:space="preserve"> Ст.Оператор ЕГАИС</t>
  </si>
  <si>
    <t>ТДЗК-01998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</si>
</sst>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color indexed="59"/>
      <name val="Verdana"/>
      <family val="2"/>
      <charset val="204"/>
    </font>
    <font>
      <b/>
      <sz val="8"/>
      <name val="Verdana"/>
      <family val="2"/>
      <charset val="204"/>
    </font>
    <font>
      <sz val="8"/>
      <color indexed="59"/>
      <name val="Verdana"/>
      <family val="2"/>
      <charset val="204"/>
    </font>
    <font>
      <sz val="8"/>
      <name val="Verdana"/>
      <family val="2"/>
      <charset val="204"/>
    </font>
    <font>
      <b/>
      <sz val="8"/>
      <color rgb="FF333300"/>
      <name val="Verdana"/>
      <family val="2"/>
      <charset val="204"/>
    </font>
    <font>
      <sz val="8"/>
      <color rgb="FF333300"/>
      <name val="Verdana"/>
      <family val="2"/>
      <charset val="204"/>
    </font>
    <font>
      <b/>
      <sz val="26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8"/>
      <name val="Verdana"/>
    </font>
    <font>
      <b/>
      <sz val="8"/>
      <color indexed="59"/>
      <name val="Verdana"/>
    </font>
    <font>
      <sz val="8"/>
      <name val="Arial"/>
    </font>
    <font>
      <sz val="8"/>
      <name val="Verdana"/>
      <family val="2"/>
    </font>
    <font>
      <b/>
      <sz val="18"/>
      <color rgb="FF009646"/>
      <name val="Arial"/>
    </font>
    <font>
      <sz val="10"/>
      <name val="Arial"/>
    </font>
    <font>
      <b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7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1" fillId="0" borderId="0"/>
  </cellStyleXfs>
  <cellXfs count="286">
    <xf numFmtId="0" fontId="0" fillId="0" borderId="0" xfId="0"/>
    <xf numFmtId="0" fontId="0" fillId="0" borderId="0" xfId="0" applyAlignment="1">
      <alignment horizontal="center" vertical="center"/>
    </xf>
    <xf numFmtId="0" fontId="10" fillId="0" borderId="3" xfId="3" applyFont="1" applyBorder="1" applyAlignment="1">
      <alignment horizontal="center" vertical="top"/>
    </xf>
    <xf numFmtId="0" fontId="11" fillId="0" borderId="5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7" fillId="0" borderId="27" xfId="3" applyBorder="1"/>
    <xf numFmtId="0" fontId="7" fillId="0" borderId="28" xfId="3" applyBorder="1"/>
    <xf numFmtId="0" fontId="9" fillId="0" borderId="5" xfId="3" applyFont="1" applyBorder="1" applyAlignment="1">
      <alignment horizontal="center" vertical="top"/>
    </xf>
    <xf numFmtId="0" fontId="9" fillId="0" borderId="28" xfId="3" applyFont="1" applyBorder="1" applyAlignment="1">
      <alignment horizontal="center" vertical="top"/>
    </xf>
    <xf numFmtId="0" fontId="9" fillId="0" borderId="3" xfId="3" applyFont="1" applyBorder="1"/>
    <xf numFmtId="0" fontId="7" fillId="0" borderId="29" xfId="3" applyBorder="1"/>
    <xf numFmtId="0" fontId="7" fillId="0" borderId="11" xfId="3" applyBorder="1"/>
    <xf numFmtId="0" fontId="9" fillId="0" borderId="11" xfId="3" applyFont="1" applyBorder="1" applyAlignment="1">
      <alignment horizontal="center" vertical="top"/>
    </xf>
    <xf numFmtId="0" fontId="9" fillId="0" borderId="3" xfId="3" applyFont="1" applyBorder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17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14" xfId="0" applyFont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9" fillId="0" borderId="32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165" fontId="5" fillId="4" borderId="37" xfId="0" applyNumberFormat="1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3" borderId="8" xfId="0" applyFill="1" applyBorder="1"/>
    <xf numFmtId="0" fontId="0" fillId="3" borderId="11" xfId="0" applyFill="1" applyBorder="1"/>
    <xf numFmtId="0" fontId="0" fillId="4" borderId="8" xfId="0" applyFill="1" applyBorder="1"/>
    <xf numFmtId="0" fontId="0" fillId="4" borderId="11" xfId="0" applyFill="1" applyBorder="1"/>
    <xf numFmtId="0" fontId="0" fillId="3" borderId="29" xfId="0" applyFill="1" applyBorder="1"/>
    <xf numFmtId="0" fontId="0" fillId="4" borderId="29" xfId="0" applyFill="1" applyBorder="1"/>
    <xf numFmtId="0" fontId="0" fillId="7" borderId="65" xfId="0" applyFill="1" applyBorder="1"/>
    <xf numFmtId="0" fontId="0" fillId="7" borderId="66" xfId="0" applyFill="1" applyBorder="1"/>
    <xf numFmtId="0" fontId="0" fillId="7" borderId="67" xfId="0" applyFill="1" applyBorder="1"/>
    <xf numFmtId="0" fontId="0" fillId="7" borderId="0" xfId="0" applyFill="1"/>
    <xf numFmtId="0" fontId="0" fillId="7" borderId="70" xfId="0" applyFill="1" applyBorder="1"/>
    <xf numFmtId="0" fontId="0" fillId="7" borderId="71" xfId="0" applyFill="1" applyBorder="1"/>
    <xf numFmtId="0" fontId="0" fillId="7" borderId="72" xfId="0" applyFill="1" applyBorder="1"/>
    <xf numFmtId="0" fontId="18" fillId="7" borderId="0" xfId="0" applyFont="1" applyFill="1" applyAlignment="1">
      <alignment vertical="center" wrapText="1"/>
    </xf>
    <xf numFmtId="0" fontId="0" fillId="7" borderId="69" xfId="0" applyFill="1" applyBorder="1"/>
    <xf numFmtId="0" fontId="5" fillId="0" borderId="0" xfId="0" applyFont="1" applyAlignment="1">
      <alignment horizontal="right"/>
    </xf>
    <xf numFmtId="0" fontId="0" fillId="7" borderId="0" xfId="0" applyFill="1" applyAlignment="1">
      <alignment horizontal="left"/>
    </xf>
    <xf numFmtId="0" fontId="0" fillId="0" borderId="66" xfId="0" applyBorder="1"/>
    <xf numFmtId="0" fontId="0" fillId="0" borderId="71" xfId="0" applyBorder="1"/>
    <xf numFmtId="0" fontId="0" fillId="0" borderId="68" xfId="0" applyBorder="1"/>
    <xf numFmtId="0" fontId="0" fillId="0" borderId="70" xfId="0" applyBorder="1"/>
    <xf numFmtId="0" fontId="0" fillId="0" borderId="65" xfId="0" applyBorder="1"/>
    <xf numFmtId="0" fontId="3" fillId="0" borderId="66" xfId="0" applyFont="1" applyBorder="1"/>
    <xf numFmtId="0" fontId="0" fillId="0" borderId="67" xfId="0" applyBorder="1"/>
    <xf numFmtId="0" fontId="5" fillId="0" borderId="0" xfId="0" applyFont="1" applyAlignment="1">
      <alignment horizontal="center" vertical="center"/>
    </xf>
    <xf numFmtId="0" fontId="0" fillId="0" borderId="69" xfId="0" applyBorder="1"/>
    <xf numFmtId="0" fontId="17" fillId="7" borderId="0" xfId="0" applyFont="1" applyFill="1" applyAlignment="1">
      <alignment horizontal="right" vertical="center"/>
    </xf>
    <xf numFmtId="0" fontId="0" fillId="7" borderId="68" xfId="0" applyFill="1" applyBorder="1"/>
    <xf numFmtId="0" fontId="5" fillId="0" borderId="68" xfId="0" applyFont="1" applyBorder="1" applyAlignment="1">
      <alignment horizontal="right"/>
    </xf>
    <xf numFmtId="0" fontId="0" fillId="0" borderId="68" xfId="0" applyBorder="1" applyAlignment="1">
      <alignment horizontal="right"/>
    </xf>
    <xf numFmtId="0" fontId="5" fillId="0" borderId="70" xfId="0" applyFont="1" applyBorder="1" applyAlignment="1">
      <alignment horizontal="right"/>
    </xf>
    <xf numFmtId="0" fontId="0" fillId="0" borderId="72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0" fillId="0" borderId="33" xfId="0" applyNumberFormat="1" applyBorder="1" applyAlignment="1" applyProtection="1">
      <alignment horizontal="center" vertical="center"/>
      <protection locked="0"/>
    </xf>
    <xf numFmtId="0" fontId="19" fillId="0" borderId="5" xfId="4" applyFont="1" applyBorder="1" applyAlignment="1">
      <alignment horizontal="center" vertical="center"/>
    </xf>
    <xf numFmtId="0" fontId="19" fillId="0" borderId="5" xfId="4" applyFont="1" applyBorder="1" applyAlignment="1">
      <alignment horizontal="center"/>
    </xf>
    <xf numFmtId="0" fontId="20" fillId="0" borderId="7" xfId="5" applyFont="1" applyBorder="1" applyAlignment="1">
      <alignment horizontal="center" vertical="top"/>
    </xf>
    <xf numFmtId="0" fontId="20" fillId="0" borderId="5" xfId="5" applyFont="1" applyBorder="1" applyAlignment="1">
      <alignment horizontal="center" vertical="top"/>
    </xf>
    <xf numFmtId="0" fontId="19" fillId="0" borderId="5" xfId="5" applyFont="1" applyBorder="1" applyAlignment="1">
      <alignment horizontal="center" vertical="center"/>
    </xf>
    <xf numFmtId="0" fontId="7" fillId="0" borderId="27" xfId="5" applyBorder="1"/>
    <xf numFmtId="0" fontId="7" fillId="0" borderId="28" xfId="5" applyBorder="1"/>
    <xf numFmtId="0" fontId="22" fillId="0" borderId="17" xfId="6" applyFont="1" applyBorder="1" applyAlignment="1">
      <alignment horizontal="center" vertical="center"/>
    </xf>
    <xf numFmtId="0" fontId="21" fillId="0" borderId="1" xfId="6" applyBorder="1" applyAlignment="1">
      <alignment horizontal="left"/>
    </xf>
    <xf numFmtId="0" fontId="21" fillId="0" borderId="2" xfId="6" applyBorder="1" applyAlignment="1">
      <alignment horizontal="left"/>
    </xf>
    <xf numFmtId="0" fontId="21" fillId="0" borderId="0" xfId="6"/>
    <xf numFmtId="0" fontId="21" fillId="0" borderId="0" xfId="6" applyAlignment="1">
      <alignment horizontal="left"/>
    </xf>
    <xf numFmtId="0" fontId="23" fillId="0" borderId="0" xfId="6" applyFont="1" applyAlignment="1">
      <alignment horizontal="left" vertical="top"/>
    </xf>
    <xf numFmtId="0" fontId="24" fillId="0" borderId="0" xfId="6" applyFont="1" applyAlignment="1">
      <alignment horizontal="left" vertical="top"/>
    </xf>
    <xf numFmtId="1" fontId="21" fillId="0" borderId="19" xfId="6" applyNumberFormat="1" applyBorder="1" applyAlignment="1">
      <alignment horizontal="right" vertical="top" wrapText="1"/>
    </xf>
    <xf numFmtId="0" fontId="21" fillId="0" borderId="19" xfId="6" applyBorder="1" applyAlignment="1">
      <alignment horizontal="left" vertical="top" wrapText="1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" fillId="6" borderId="3" xfId="0" applyFont="1" applyFill="1" applyBorder="1" applyAlignment="1">
      <alignment horizontal="center" vertical="center"/>
    </xf>
    <xf numFmtId="165" fontId="5" fillId="6" borderId="37" xfId="0" applyNumberFormat="1" applyFont="1" applyFill="1" applyBorder="1" applyAlignment="1">
      <alignment horizontal="center" vertical="center"/>
    </xf>
    <xf numFmtId="0" fontId="0" fillId="6" borderId="34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37" xfId="0" applyFill="1" applyBorder="1" applyAlignment="1" applyProtection="1">
      <alignment horizontal="center" vertical="center"/>
      <protection locked="0"/>
    </xf>
    <xf numFmtId="49" fontId="0" fillId="0" borderId="33" xfId="0" applyNumberFormat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8" borderId="34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37" xfId="0" applyFill="1" applyBorder="1" applyAlignment="1" applyProtection="1">
      <alignment horizontal="center" vertical="center"/>
      <protection locked="0"/>
    </xf>
    <xf numFmtId="0" fontId="5" fillId="9" borderId="3" xfId="0" applyFont="1" applyFill="1" applyBorder="1" applyAlignment="1">
      <alignment horizontal="center" vertical="center"/>
    </xf>
    <xf numFmtId="165" fontId="5" fillId="9" borderId="37" xfId="0" applyNumberFormat="1" applyFont="1" applyFill="1" applyBorder="1" applyAlignment="1">
      <alignment horizontal="center" vertical="center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2" fontId="0" fillId="3" borderId="34" xfId="0" applyNumberFormat="1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 wrapText="1"/>
    </xf>
    <xf numFmtId="2" fontId="0" fillId="3" borderId="37" xfId="0" applyNumberFormat="1" applyFill="1" applyBorder="1" applyAlignment="1">
      <alignment horizontal="center" vertical="center" wrapText="1"/>
    </xf>
    <xf numFmtId="164" fontId="0" fillId="3" borderId="34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37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1" fontId="0" fillId="3" borderId="57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58" xfId="0" applyNumberForma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right" vertical="center"/>
    </xf>
    <xf numFmtId="0" fontId="5" fillId="4" borderId="56" xfId="0" applyFont="1" applyFill="1" applyBorder="1" applyAlignment="1">
      <alignment horizontal="right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" fontId="0" fillId="3" borderId="34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37" xfId="0" applyNumberForma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1" fontId="0" fillId="3" borderId="41" xfId="0" applyNumberForma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1" fontId="0" fillId="3" borderId="42" xfId="0" applyNumberFormat="1" applyFill="1" applyBorder="1" applyAlignment="1">
      <alignment horizontal="center" vertical="center"/>
    </xf>
    <xf numFmtId="2" fontId="0" fillId="5" borderId="34" xfId="0" applyNumberForma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164" fontId="0" fillId="3" borderId="35" xfId="0" applyNumberForma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1" fontId="0" fillId="3" borderId="26" xfId="0" applyNumberFormat="1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45" xfId="0" applyBorder="1" applyAlignment="1" applyProtection="1">
      <alignment horizontal="center" vertical="center" wrapText="1"/>
      <protection locked="0"/>
    </xf>
    <xf numFmtId="0" fontId="0" fillId="3" borderId="34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1" fontId="0" fillId="3" borderId="28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 wrapText="1"/>
    </xf>
    <xf numFmtId="0" fontId="5" fillId="4" borderId="53" xfId="0" applyFont="1" applyFill="1" applyBorder="1" applyAlignment="1">
      <alignment horizontal="center" vertical="center" wrapText="1"/>
    </xf>
    <xf numFmtId="0" fontId="5" fillId="4" borderId="54" xfId="0" applyFont="1" applyFill="1" applyBorder="1" applyAlignment="1">
      <alignment horizontal="center" vertical="center" wrapText="1"/>
    </xf>
    <xf numFmtId="0" fontId="5" fillId="0" borderId="39" xfId="0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4" borderId="47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164" fontId="0" fillId="0" borderId="47" xfId="0" applyNumberFormat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2" fontId="0" fillId="5" borderId="57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58" xfId="0" applyNumberFormat="1" applyFill="1" applyBorder="1" applyAlignment="1">
      <alignment horizontal="center" vertical="center"/>
    </xf>
    <xf numFmtId="164" fontId="0" fillId="3" borderId="39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0" fillId="0" borderId="66" xfId="0" applyBorder="1" applyAlignment="1">
      <alignment horizontal="left" vertical="center" wrapText="1"/>
    </xf>
    <xf numFmtId="0" fontId="0" fillId="0" borderId="6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68" xfId="0" applyBorder="1" applyAlignment="1">
      <alignment horizontal="center"/>
    </xf>
    <xf numFmtId="0" fontId="18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14" fillId="0" borderId="62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24" fillId="0" borderId="20" xfId="6" applyFont="1" applyBorder="1" applyAlignment="1">
      <alignment horizontal="left" vertical="top" wrapText="1"/>
    </xf>
    <xf numFmtId="0" fontId="24" fillId="0" borderId="21" xfId="6" applyFont="1" applyBorder="1" applyAlignment="1">
      <alignment horizontal="left" vertical="top" wrapText="1"/>
    </xf>
    <xf numFmtId="0" fontId="24" fillId="0" borderId="22" xfId="6" applyFont="1" applyBorder="1" applyAlignment="1">
      <alignment horizontal="left" vertical="top" wrapText="1"/>
    </xf>
    <xf numFmtId="0" fontId="24" fillId="0" borderId="23" xfId="6" applyFont="1" applyBorder="1" applyAlignment="1">
      <alignment horizontal="left" vertical="top" wrapText="1"/>
    </xf>
    <xf numFmtId="0" fontId="21" fillId="0" borderId="19" xfId="6" applyBorder="1" applyAlignment="1">
      <alignment horizontal="left" vertical="top" wrapText="1"/>
    </xf>
    <xf numFmtId="0" fontId="25" fillId="0" borderId="0" xfId="6" applyFont="1" applyAlignment="1">
      <alignment horizontal="left" vertical="top" wrapText="1"/>
    </xf>
    <xf numFmtId="0" fontId="24" fillId="0" borderId="19" xfId="6" applyFont="1" applyBorder="1" applyAlignment="1">
      <alignment horizontal="left" vertical="top" wrapText="1"/>
    </xf>
    <xf numFmtId="0" fontId="10" fillId="0" borderId="27" xfId="3" applyFont="1" applyBorder="1" applyAlignment="1">
      <alignment horizontal="center" vertical="top"/>
    </xf>
    <xf numFmtId="0" fontId="10" fillId="0" borderId="28" xfId="3" applyFont="1" applyBorder="1" applyAlignment="1">
      <alignment horizontal="center" vertical="top"/>
    </xf>
    <xf numFmtId="0" fontId="10" fillId="0" borderId="25" xfId="3" applyFont="1" applyBorder="1" applyAlignment="1">
      <alignment horizontal="center" vertical="top"/>
    </xf>
    <xf numFmtId="0" fontId="10" fillId="0" borderId="26" xfId="3" applyFont="1" applyBorder="1" applyAlignment="1">
      <alignment horizontal="center" vertical="top"/>
    </xf>
    <xf numFmtId="0" fontId="12" fillId="0" borderId="17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top"/>
    </xf>
    <xf numFmtId="0" fontId="9" fillId="0" borderId="76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13" fillId="0" borderId="76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3" fillId="0" borderId="18" xfId="0" applyFont="1" applyBorder="1" applyAlignment="1">
      <alignment horizontal="center" vertical="top"/>
    </xf>
    <xf numFmtId="0" fontId="13" fillId="0" borderId="30" xfId="0" applyFont="1" applyBorder="1" applyAlignment="1">
      <alignment horizontal="center" vertical="top"/>
    </xf>
    <xf numFmtId="0" fontId="13" fillId="0" borderId="75" xfId="0" applyFont="1" applyBorder="1" applyAlignment="1">
      <alignment horizontal="center" vertical="top" wrapText="1"/>
    </xf>
    <xf numFmtId="0" fontId="13" fillId="0" borderId="31" xfId="0" applyFont="1" applyBorder="1" applyAlignment="1">
      <alignment horizontal="center" vertical="top" wrapText="1"/>
    </xf>
    <xf numFmtId="0" fontId="13" fillId="0" borderId="32" xfId="0" applyFont="1" applyBorder="1" applyAlignment="1">
      <alignment horizontal="center" vertical="top" wrapText="1"/>
    </xf>
    <xf numFmtId="0" fontId="13" fillId="0" borderId="75" xfId="0" applyFont="1" applyBorder="1" applyAlignment="1">
      <alignment horizontal="center" vertical="top"/>
    </xf>
    <xf numFmtId="0" fontId="13" fillId="0" borderId="32" xfId="0" applyFont="1" applyBorder="1" applyAlignment="1">
      <alignment horizontal="center" vertical="top"/>
    </xf>
    <xf numFmtId="0" fontId="13" fillId="0" borderId="73" xfId="0" applyFont="1" applyBorder="1" applyAlignment="1">
      <alignment horizontal="center" vertical="top" wrapText="1"/>
    </xf>
    <xf numFmtId="0" fontId="13" fillId="0" borderId="74" xfId="0" applyFont="1" applyBorder="1" applyAlignment="1">
      <alignment horizontal="center" vertical="top" wrapText="1"/>
    </xf>
    <xf numFmtId="0" fontId="0" fillId="0" borderId="25" xfId="0" applyBorder="1" applyAlignment="1">
      <alignment horizontal="center"/>
    </xf>
    <xf numFmtId="0" fontId="10" fillId="0" borderId="8" xfId="3" applyFont="1" applyBorder="1" applyAlignment="1">
      <alignment horizontal="center" vertical="top"/>
    </xf>
    <xf numFmtId="0" fontId="10" fillId="0" borderId="11" xfId="3" applyFont="1" applyBorder="1" applyAlignment="1">
      <alignment horizontal="center" vertical="top"/>
    </xf>
    <xf numFmtId="0" fontId="10" fillId="0" borderId="5" xfId="3" applyFont="1" applyBorder="1" applyAlignment="1">
      <alignment horizontal="center" vertical="top" wrapText="1"/>
    </xf>
    <xf numFmtId="0" fontId="10" fillId="0" borderId="7" xfId="3" applyFont="1" applyBorder="1" applyAlignment="1">
      <alignment horizontal="center" vertical="top" wrapText="1"/>
    </xf>
    <xf numFmtId="0" fontId="8" fillId="0" borderId="5" xfId="3" applyFont="1" applyBorder="1" applyAlignment="1">
      <alignment horizontal="center" vertical="top"/>
    </xf>
    <xf numFmtId="0" fontId="8" fillId="0" borderId="6" xfId="3" applyFont="1" applyBorder="1" applyAlignment="1">
      <alignment horizontal="center" vertical="top"/>
    </xf>
    <xf numFmtId="0" fontId="8" fillId="0" borderId="7" xfId="3" applyFont="1" applyBorder="1" applyAlignment="1">
      <alignment horizontal="center" vertical="top"/>
    </xf>
    <xf numFmtId="0" fontId="9" fillId="0" borderId="9" xfId="3" applyFont="1" applyBorder="1" applyAlignment="1">
      <alignment horizontal="center" vertical="top"/>
    </xf>
    <xf numFmtId="0" fontId="9" fillId="0" borderId="27" xfId="3" applyFont="1" applyBorder="1" applyAlignment="1">
      <alignment horizontal="center" vertical="top"/>
    </xf>
    <xf numFmtId="0" fontId="9" fillId="0" borderId="28" xfId="3" applyFont="1" applyBorder="1" applyAlignment="1">
      <alignment horizontal="center" vertical="top"/>
    </xf>
    <xf numFmtId="0" fontId="9" fillId="0" borderId="24" xfId="3" applyFont="1" applyBorder="1" applyAlignment="1">
      <alignment horizontal="center" vertical="top"/>
    </xf>
    <xf numFmtId="0" fontId="9" fillId="0" borderId="25" xfId="3" applyFont="1" applyBorder="1" applyAlignment="1">
      <alignment horizontal="center" vertical="top"/>
    </xf>
    <xf numFmtId="0" fontId="9" fillId="0" borderId="26" xfId="3" applyFont="1" applyBorder="1" applyAlignment="1">
      <alignment horizontal="center" vertical="top"/>
    </xf>
    <xf numFmtId="0" fontId="10" fillId="0" borderId="9" xfId="3" applyFont="1" applyBorder="1" applyAlignment="1">
      <alignment horizontal="center" vertical="top"/>
    </xf>
    <xf numFmtId="0" fontId="10" fillId="0" borderId="24" xfId="3" applyFont="1" applyBorder="1" applyAlignment="1">
      <alignment horizontal="center" vertical="top"/>
    </xf>
    <xf numFmtId="0" fontId="10" fillId="0" borderId="8" xfId="3" applyFont="1" applyBorder="1" applyAlignment="1">
      <alignment horizontal="center" vertical="top" wrapText="1"/>
    </xf>
    <xf numFmtId="0" fontId="10" fillId="0" borderId="29" xfId="3" applyFont="1" applyBorder="1" applyAlignment="1">
      <alignment horizontal="center" vertical="top" wrapText="1"/>
    </xf>
    <xf numFmtId="0" fontId="10" fillId="0" borderId="11" xfId="3" applyFont="1" applyBorder="1" applyAlignment="1">
      <alignment horizontal="center" vertical="top" wrapText="1"/>
    </xf>
    <xf numFmtId="0" fontId="0" fillId="0" borderId="36" xfId="0" applyNumberFormat="1" applyBorder="1" applyAlignment="1" applyProtection="1">
      <alignment horizontal="center" vertical="center"/>
      <protection locked="0"/>
    </xf>
    <xf numFmtId="0" fontId="0" fillId="0" borderId="12" xfId="0" applyNumberFormat="1" applyBorder="1" applyAlignment="1" applyProtection="1">
      <alignment horizontal="center" vertical="center"/>
      <protection locked="0"/>
    </xf>
    <xf numFmtId="0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NumberFormat="1" applyBorder="1" applyAlignment="1" applyProtection="1">
      <alignment horizontal="center" vertical="center"/>
      <protection locked="0"/>
    </xf>
  </cellXfs>
  <cellStyles count="7">
    <cellStyle name="Обычный" xfId="0" builtinId="0"/>
    <cellStyle name="Обычный 2" xfId="1" xr:uid="{00000000-0005-0000-0000-000001000000}"/>
    <cellStyle name="Обычный 3" xfId="5" xr:uid="{F1DC251B-29EA-4424-B54F-4B6B33C6F81F}"/>
    <cellStyle name="Обычный 4" xfId="6" xr:uid="{B7CFE5AD-76F5-4022-BF1B-F8E9F47C12CD}"/>
    <cellStyle name="Обычный_Лист5" xfId="3" xr:uid="{00000000-0005-0000-0000-000002000000}"/>
    <cellStyle name="Обычный_ПК 2 Дагестан" xfId="4" xr:uid="{1E2D5320-D3D1-4DC8-B75C-9BA19B8CD367}"/>
    <cellStyle name="Финансовый 2" xfId="2" xr:uid="{00000000-0005-0000-0000-000003000000}"/>
  </cellStyles>
  <dxfs count="9"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1064;&#1072;&#1073;&#1083;&#1086;&#1085; &#1058;&#1072;&#1073;&#1077;&#1083;&#1103;'!AN2"/><Relationship Id="rId2" Type="http://schemas.openxmlformats.org/officeDocument/2006/relationships/hyperlink" Target="#'&#1064;&#1072;&#1073;&#1083;&#1086;&#1085; &#1058;&#1072;&#1073;&#1077;&#1083;&#1103;'!I2"/><Relationship Id="rId1" Type="http://schemas.openxmlformats.org/officeDocument/2006/relationships/hyperlink" Target="#'&#1064;&#1072;&#1073;&#1083;&#1086;&#1085; &#1058;&#1072;&#1073;&#1077;&#1083;&#1103;'!C2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1048;&#1085;&#1089;&#1090;&#1088;&#1091;&#1082;&#1094;&#1080;&#1103;!B51"/><Relationship Id="rId2" Type="http://schemas.openxmlformats.org/officeDocument/2006/relationships/hyperlink" Target="#&#1048;&#1085;&#1089;&#1090;&#1088;&#1091;&#1082;&#1094;&#1080;&#1103;!B25"/><Relationship Id="rId1" Type="http://schemas.openxmlformats.org/officeDocument/2006/relationships/hyperlink" Target="#&#1048;&#1085;&#1089;&#1090;&#1088;&#1091;&#1082;&#1094;&#1080;&#1103;!B2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790166-0DBB-424E-A878-7A0D9738F96A}"/>
            </a:ext>
          </a:extLst>
        </xdr:cNvPr>
        <xdr:cNvSpPr/>
      </xdr:nvSpPr>
      <xdr:spPr>
        <a:xfrm>
          <a:off x="608135" y="3238500"/>
          <a:ext cx="608134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1</a:t>
          </a:r>
        </a:p>
      </xdr:txBody>
    </xdr:sp>
    <xdr:clientData/>
  </xdr:twoCellAnchor>
  <xdr:twoCellAnchor>
    <xdr:from>
      <xdr:col>1</xdr:col>
      <xdr:colOff>0</xdr:colOff>
      <xdr:row>24</xdr:row>
      <xdr:rowOff>10784</xdr:rowOff>
    </xdr:from>
    <xdr:to>
      <xdr:col>2</xdr:col>
      <xdr:colOff>0</xdr:colOff>
      <xdr:row>26</xdr:row>
      <xdr:rowOff>0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620586-CFBD-49A7-B5C9-56311D959352}"/>
            </a:ext>
          </a:extLst>
        </xdr:cNvPr>
        <xdr:cNvSpPr/>
      </xdr:nvSpPr>
      <xdr:spPr>
        <a:xfrm>
          <a:off x="256442" y="4091880"/>
          <a:ext cx="608135" cy="37021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2</a:t>
          </a:r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0</xdr:colOff>
      <xdr:row>52</xdr:row>
      <xdr:rowOff>0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B27813-3825-4245-A890-190997B6D82E}"/>
            </a:ext>
          </a:extLst>
        </xdr:cNvPr>
        <xdr:cNvSpPr/>
      </xdr:nvSpPr>
      <xdr:spPr>
        <a:xfrm>
          <a:off x="608135" y="4762500"/>
          <a:ext cx="608134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3</a:t>
          </a: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2</xdr:col>
      <xdr:colOff>0</xdr:colOff>
      <xdr:row>32</xdr:row>
      <xdr:rowOff>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CA47D2E0-6B24-4627-A059-600A33E3DD7F}"/>
            </a:ext>
          </a:extLst>
        </xdr:cNvPr>
        <xdr:cNvSpPr/>
      </xdr:nvSpPr>
      <xdr:spPr>
        <a:xfrm>
          <a:off x="256442" y="4835769"/>
          <a:ext cx="60813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000" b="1"/>
            <a:t>2.1</a:t>
          </a:r>
        </a:p>
      </xdr:txBody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24</xdr:col>
      <xdr:colOff>449580</xdr:colOff>
      <xdr:row>71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4F31FBF-E17F-4404-A5F4-8660FF65E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5239" r="19693" b="55346"/>
        <a:stretch/>
      </xdr:blipFill>
      <xdr:spPr>
        <a:xfrm>
          <a:off x="975360" y="10542270"/>
          <a:ext cx="1239774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17319</xdr:colOff>
      <xdr:row>1</xdr:row>
      <xdr:rowOff>1</xdr:rowOff>
    </xdr:from>
    <xdr:to>
      <xdr:col>3</xdr:col>
      <xdr:colOff>17319</xdr:colOff>
      <xdr:row>3</xdr:row>
      <xdr:rowOff>1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A4DB8-4C93-40B0-87B4-72436FA6A82E}"/>
            </a:ext>
          </a:extLst>
        </xdr:cNvPr>
        <xdr:cNvSpPr/>
      </xdr:nvSpPr>
      <xdr:spPr>
        <a:xfrm>
          <a:off x="571501" y="190501"/>
          <a:ext cx="2008909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1</a:t>
          </a:r>
        </a:p>
      </xdr:txBody>
    </xdr:sp>
    <xdr:clientData/>
  </xdr:twoCellAnchor>
  <xdr:twoCellAnchor>
    <xdr:from>
      <xdr:col>3</xdr:col>
      <xdr:colOff>17319</xdr:colOff>
      <xdr:row>2</xdr:row>
      <xdr:rowOff>1</xdr:rowOff>
    </xdr:from>
    <xdr:to>
      <xdr:col>8</xdr:col>
      <xdr:colOff>17318</xdr:colOff>
      <xdr:row>2</xdr:row>
      <xdr:rowOff>1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D9C79AB3-8731-42AB-B6FA-960F4191900E}"/>
            </a:ext>
          </a:extLst>
        </xdr:cNvPr>
        <xdr:cNvCxnSpPr>
          <a:stCxn id="2" idx="3"/>
        </xdr:cNvCxnSpPr>
      </xdr:nvCxnSpPr>
      <xdr:spPr>
        <a:xfrm>
          <a:off x="2580410" y="381001"/>
          <a:ext cx="9576953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13" name="Прямоугольник: скругленные углы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B157C3-6E74-4A90-AD06-3AB245E46977}"/>
            </a:ext>
          </a:extLst>
        </xdr:cNvPr>
        <xdr:cNvSpPr/>
      </xdr:nvSpPr>
      <xdr:spPr>
        <a:xfrm>
          <a:off x="12132879" y="190500"/>
          <a:ext cx="564931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2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38</xdr:col>
      <xdr:colOff>0</xdr:colOff>
      <xdr:row>2</xdr:row>
      <xdr:rowOff>0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54AEF952-25EC-4195-A032-11D6590297F0}"/>
            </a:ext>
          </a:extLst>
        </xdr:cNvPr>
        <xdr:cNvCxnSpPr>
          <a:stCxn id="13" idx="3"/>
        </xdr:cNvCxnSpPr>
      </xdr:nvCxnSpPr>
      <xdr:spPr>
        <a:xfrm>
          <a:off x="12697810" y="381000"/>
          <a:ext cx="18393104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0</xdr:row>
      <xdr:rowOff>190499</xdr:rowOff>
    </xdr:from>
    <xdr:to>
      <xdr:col>39</xdr:col>
      <xdr:colOff>0</xdr:colOff>
      <xdr:row>3</xdr:row>
      <xdr:rowOff>0</xdr:rowOff>
    </xdr:to>
    <xdr:sp macro="" textlink="">
      <xdr:nvSpPr>
        <xdr:cNvPr id="17" name="Прямоугольник: скругленные углы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00819E-4D71-43B8-9C74-7C07E7243B46}"/>
            </a:ext>
          </a:extLst>
        </xdr:cNvPr>
        <xdr:cNvSpPr/>
      </xdr:nvSpPr>
      <xdr:spPr>
        <a:xfrm>
          <a:off x="31090914" y="190499"/>
          <a:ext cx="597776" cy="3810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3</a:t>
          </a:r>
        </a:p>
      </xdr:txBody>
    </xdr:sp>
    <xdr:clientData/>
  </xdr:twoCellAnchor>
  <xdr:twoCellAnchor>
    <xdr:from>
      <xdr:col>39</xdr:col>
      <xdr:colOff>0</xdr:colOff>
      <xdr:row>2</xdr:row>
      <xdr:rowOff>0</xdr:rowOff>
    </xdr:from>
    <xdr:to>
      <xdr:col>55</xdr:col>
      <xdr:colOff>0</xdr:colOff>
      <xdr:row>2</xdr:row>
      <xdr:rowOff>0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FE74CAE5-5773-425D-9869-600E980EBF54}"/>
            </a:ext>
          </a:extLst>
        </xdr:cNvPr>
        <xdr:cNvCxnSpPr>
          <a:stCxn id="17" idx="3"/>
        </xdr:cNvCxnSpPr>
      </xdr:nvCxnSpPr>
      <xdr:spPr>
        <a:xfrm>
          <a:off x="31688690" y="381000"/>
          <a:ext cx="15535603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73;&#1077;&#1083;&#1100;%20&#1045;&#1043;&#1040;&#1048;&#1057;%20&#1071;&#1053;&#1042;&#1040;&#1056;&#1068;%20&#1085;&#1086;&#1074;&#1099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Шаблон Табеля"/>
      <sheetName val="ШР"/>
      <sheetName val="ПК 1"/>
      <sheetName val="ПК 2 Дагестан"/>
      <sheetName val="Справочный лист"/>
    </sheetNames>
    <sheetDataSet>
      <sheetData sheetId="0" refreshError="1"/>
      <sheetData sheetId="1">
        <row r="9">
          <cell r="C9" t="str">
            <v>Эскеров Аднан Эскерович</v>
          </cell>
        </row>
        <row r="12">
          <cell r="C12" t="str">
            <v>Гасанов Камиль Мурадович</v>
          </cell>
        </row>
        <row r="15">
          <cell r="C15" t="str">
            <v>Герейханов Пирбала Тофикович</v>
          </cell>
        </row>
        <row r="18">
          <cell r="C18" t="str">
            <v>Гусейнов Вели Гусеевич</v>
          </cell>
        </row>
        <row r="21">
          <cell r="C21" t="str">
            <v>Мирзоев Ханахмед Бегахмедович</v>
          </cell>
        </row>
      </sheetData>
      <sheetData sheetId="2">
        <row r="6">
          <cell r="M6" t="str">
            <v>Подразделение3</v>
          </cell>
          <cell r="P6" t="str">
            <v>Сотрудник</v>
          </cell>
        </row>
        <row r="8">
          <cell r="M8" t="str">
            <v>Отдел Единой государственной автоматизированной информационной системы</v>
          </cell>
          <cell r="P8" t="str">
            <v>Эскеров Аднан Эскерович</v>
          </cell>
        </row>
        <row r="9">
          <cell r="M9" t="str">
            <v>Отдел Единой государственной автоматизированной информационной системы</v>
          </cell>
          <cell r="P9" t="str">
            <v>Гасанов Камиль Мурадович</v>
          </cell>
        </row>
        <row r="10">
          <cell r="M10" t="str">
            <v>Отдел Единой государственной автоматизированной информационной системы</v>
          </cell>
          <cell r="P10" t="str">
            <v>Герейханов Пирбала Тофикович</v>
          </cell>
        </row>
        <row r="11">
          <cell r="M11" t="str">
            <v>Отдел Единой государственной автоматизированной информационной системы</v>
          </cell>
          <cell r="P11" t="str">
            <v>Гусейнов Вели Гусеевич</v>
          </cell>
        </row>
        <row r="12">
          <cell r="M12" t="str">
            <v>Отдел Единой государственной автоматизированной информационной системы</v>
          </cell>
          <cell r="P12" t="str">
            <v>Мирзоев Ханахмед Бегахмедович</v>
          </cell>
        </row>
        <row r="13">
          <cell r="P13" t="str">
            <v>Рашидов Феликс Тельманович</v>
          </cell>
        </row>
        <row r="14">
          <cell r="P14" t="str">
            <v>Адуева Райганат Абдуллаевна</v>
          </cell>
        </row>
        <row r="15">
          <cell r="P15" t="str">
            <v>Гаджимурадова Галимат Агакеримовна</v>
          </cell>
        </row>
        <row r="16">
          <cell r="P16" t="str">
            <v>Магомедова Бинура Гюльмагомедовна</v>
          </cell>
        </row>
        <row r="17">
          <cell r="P17" t="str">
            <v>Магомедова Муминат Абдуллаевна</v>
          </cell>
        </row>
        <row r="18">
          <cell r="P18" t="str">
            <v>Муртазалиева Зоя Гасангусейновна</v>
          </cell>
        </row>
        <row r="19">
          <cell r="P19" t="str">
            <v>Нюхова Гурият Надировна</v>
          </cell>
        </row>
        <row r="20">
          <cell r="P20" t="str">
            <v>Хулатаева Умукурсум Рамазановна</v>
          </cell>
        </row>
        <row r="21">
          <cell r="P21" t="str">
            <v>Юсупова Шахгюзел Абдурахмановна</v>
          </cell>
        </row>
        <row r="22">
          <cell r="P22" t="str">
            <v>Мусаев Курбан Гаджиевич</v>
          </cell>
        </row>
        <row r="23">
          <cell r="P23" t="str">
            <v>Кафаров Сурутдин Алимагомедович</v>
          </cell>
        </row>
        <row r="24">
          <cell r="P24" t="str">
            <v>Курбанов Ибрагим Пашаевич</v>
          </cell>
        </row>
        <row r="25">
          <cell r="P25" t="str">
            <v>Велиханов Сефихан Гаджибубаевич</v>
          </cell>
        </row>
        <row r="26">
          <cell r="P26" t="str">
            <v>Изилов Равшан Алибекович</v>
          </cell>
        </row>
        <row r="27">
          <cell r="P27" t="str">
            <v>Чернов Евгений Викторович</v>
          </cell>
        </row>
        <row r="28">
          <cell r="P28" t="str">
            <v>Гасантаев Магомед Амирбекович</v>
          </cell>
        </row>
        <row r="29">
          <cell r="P29" t="str">
            <v>Адамова Сайгибат Джабраиловна</v>
          </cell>
        </row>
        <row r="30">
          <cell r="P30" t="str">
            <v>Магомедов Али Шахбанович</v>
          </cell>
        </row>
        <row r="31">
          <cell r="P31" t="str">
            <v>Магомедов Джабраил Гусаевич</v>
          </cell>
        </row>
        <row r="32">
          <cell r="P32" t="str">
            <v>Муртазаев Алибег Велибекович</v>
          </cell>
        </row>
        <row r="33">
          <cell r="P33" t="str">
            <v>Рабаданов Курбан Гусенович</v>
          </cell>
        </row>
        <row r="34">
          <cell r="P34" t="str">
            <v>Хабиев Багатир Халирбагинович</v>
          </cell>
        </row>
        <row r="35">
          <cell r="P35" t="str">
            <v>Османов Раджаб Османович</v>
          </cell>
        </row>
        <row r="36">
          <cell r="P36" t="str">
            <v>Курбанкадиев Мусагаджи Исакович</v>
          </cell>
        </row>
        <row r="37">
          <cell r="P37" t="str">
            <v>Нурбалаев Абдулкерим Абдулмеджидович</v>
          </cell>
        </row>
        <row r="38">
          <cell r="P38" t="str">
            <v>Абдулкеримова Радмила Нусретовна</v>
          </cell>
        </row>
        <row r="39">
          <cell r="M39" t="str">
            <v>Группа хозяйственного обслуживания</v>
          </cell>
          <cell r="P39" t="str">
            <v>Устарханова Перизат Акаевна</v>
          </cell>
        </row>
        <row r="40">
          <cell r="M40" t="str">
            <v>Группа хозяйственного обслуживания</v>
          </cell>
          <cell r="P40" t="str">
            <v>Гасантаев Магомед Амирбекович</v>
          </cell>
        </row>
        <row r="41">
          <cell r="M41" t="str">
            <v>Группа хозяйственного обслуживания</v>
          </cell>
          <cell r="P41" t="str">
            <v>Шихмирзаева Заида Алимирзаевна</v>
          </cell>
        </row>
        <row r="42">
          <cell r="M42" t="str">
            <v>Группа по капитальному строительству</v>
          </cell>
          <cell r="P42" t="str">
            <v>Абукаров Зейнал Ярбаевич</v>
          </cell>
        </row>
        <row r="43">
          <cell r="M43" t="str">
            <v>Группа по капитальному строительству</v>
          </cell>
          <cell r="P43" t="str">
            <v>Агабеков Халетдин Гюльмагомедович</v>
          </cell>
        </row>
        <row r="44">
          <cell r="M44" t="str">
            <v>Группа по капитальному строительству</v>
          </cell>
          <cell r="P44" t="str">
            <v>Агаев Фарман Нажмутдинович</v>
          </cell>
        </row>
        <row r="45">
          <cell r="M45" t="str">
            <v>Группа по капитальному строительству</v>
          </cell>
          <cell r="P45" t="str">
            <v>Азизов Альберт Гамидович</v>
          </cell>
        </row>
        <row r="46">
          <cell r="M46" t="str">
            <v>Группа по капитальному строительству</v>
          </cell>
          <cell r="P46" t="str">
            <v>Асланбеков Уруджбек Умалатович</v>
          </cell>
        </row>
        <row r="47">
          <cell r="M47" t="str">
            <v>Группа по капитальному строительству</v>
          </cell>
          <cell r="P47" t="str">
            <v>Асланов Агарагим Исрафилович</v>
          </cell>
        </row>
        <row r="48">
          <cell r="M48" t="str">
            <v>Группа по капитальному строительству</v>
          </cell>
          <cell r="P48" t="str">
            <v>Асланов Расул Гаджимирзаевич</v>
          </cell>
        </row>
        <row r="49">
          <cell r="M49" t="str">
            <v>Группа по капитальному строительству</v>
          </cell>
          <cell r="P49" t="str">
            <v>Асланов Шихмагомед Гаджимирзаевич</v>
          </cell>
        </row>
        <row r="50">
          <cell r="M50" t="str">
            <v>Группа по капитальному строительству</v>
          </cell>
          <cell r="P50" t="str">
            <v>Битаев Мамедбек Магомедрасулович</v>
          </cell>
        </row>
        <row r="51">
          <cell r="M51" t="str">
            <v>Группа по капитальному строительству</v>
          </cell>
          <cell r="P51" t="str">
            <v>Гаджимагомедов Азим Казиахмедович</v>
          </cell>
        </row>
        <row r="52">
          <cell r="M52" t="str">
            <v>Группа по капитальному строительству</v>
          </cell>
          <cell r="P52" t="str">
            <v>Джамалов Ариф Гаджимевлютович</v>
          </cell>
        </row>
        <row r="53">
          <cell r="M53" t="str">
            <v>Группа по капитальному строительству</v>
          </cell>
          <cell r="P53" t="str">
            <v>Изилов Фейзула Гаджикеримович</v>
          </cell>
        </row>
        <row r="54">
          <cell r="M54" t="str">
            <v>Группа по капитальному строительству</v>
          </cell>
          <cell r="P54" t="str">
            <v>Исмаилов Сахиб Исмаилович</v>
          </cell>
        </row>
        <row r="55">
          <cell r="M55" t="str">
            <v>Группа по капитальному строительству</v>
          </cell>
          <cell r="P55" t="str">
            <v>Казиев Казимагомед Нурмагомедович</v>
          </cell>
        </row>
        <row r="56">
          <cell r="M56" t="str">
            <v>Группа по капитальному строительству</v>
          </cell>
          <cell r="P56" t="str">
            <v>Нафталиев Гасанали Абисалимович</v>
          </cell>
        </row>
        <row r="57">
          <cell r="M57" t="str">
            <v>Группа по капитальному строительству</v>
          </cell>
          <cell r="P57" t="str">
            <v>Рамазанов Низамутдин Шахбанович</v>
          </cell>
        </row>
        <row r="58">
          <cell r="M58" t="str">
            <v>Группа по капитальному строительству</v>
          </cell>
          <cell r="P58" t="str">
            <v>Халибеков Надир Ахмедович</v>
          </cell>
        </row>
        <row r="59">
          <cell r="M59" t="str">
            <v>Группа по капитальному строительству</v>
          </cell>
          <cell r="P59" t="str">
            <v>Шихалиев Магомед Ашурбекович</v>
          </cell>
        </row>
        <row r="60">
          <cell r="M60" t="str">
            <v>Группа по капитальному строительству</v>
          </cell>
          <cell r="P60" t="str">
            <v>Ибрагимбеков Асланбек Тагирович</v>
          </cell>
        </row>
        <row r="61">
          <cell r="P61" t="str">
            <v>Загидиев Гази Магомедович</v>
          </cell>
        </row>
        <row r="62">
          <cell r="P62" t="str">
            <v>Абдуразаков Султан Магомедрасулович</v>
          </cell>
        </row>
        <row r="63">
          <cell r="P63" t="str">
            <v>Ахмедов Арслан Абдуллахович</v>
          </cell>
        </row>
        <row r="64">
          <cell r="P64" t="str">
            <v>Чакуев Рамазан Магомедрасулович</v>
          </cell>
        </row>
        <row r="65">
          <cell r="P65" t="str">
            <v>Сайпулаев Крымсолтан Абдулкадырович</v>
          </cell>
        </row>
        <row r="66">
          <cell r="P66" t="str">
            <v>Кочкарёв Амир Камилевич</v>
          </cell>
        </row>
        <row r="67">
          <cell r="P67" t="str">
            <v>Гаджиусманов Казанфер Идрисович</v>
          </cell>
        </row>
        <row r="68">
          <cell r="P68" t="str">
            <v>Расулова Альбина Руслановна</v>
          </cell>
        </row>
        <row r="69">
          <cell r="M69" t="str">
            <v>Цех первичного виноделия</v>
          </cell>
          <cell r="P69" t="str">
            <v>Алиев Марат Алиевич</v>
          </cell>
        </row>
        <row r="70">
          <cell r="M70" t="str">
            <v>Цех первичного виноделия</v>
          </cell>
          <cell r="P70" t="str">
            <v>Мамедбеков Замир Шемсуллаевич</v>
          </cell>
        </row>
        <row r="71">
          <cell r="M71" t="str">
            <v>Цех первичного виноделия</v>
          </cell>
          <cell r="P71" t="str">
            <v>Фролов Георгий Антонович</v>
          </cell>
        </row>
        <row r="72">
          <cell r="M72" t="str">
            <v>Цех первичного виноделия</v>
          </cell>
          <cell r="P72" t="str">
            <v>Алекперов Эльман Мамедович</v>
          </cell>
        </row>
        <row r="73">
          <cell r="M73" t="str">
            <v>Цех первичного виноделия</v>
          </cell>
          <cell r="P73" t="str">
            <v>Алиев Джамал Камалутдинович</v>
          </cell>
        </row>
        <row r="74">
          <cell r="M74" t="str">
            <v>Цех первичного виноделия</v>
          </cell>
          <cell r="P74" t="str">
            <v>Алимагомедов Рустам Фазаилович</v>
          </cell>
        </row>
        <row r="75">
          <cell r="M75" t="str">
            <v>Цех первичного виноделия</v>
          </cell>
          <cell r="P75" t="str">
            <v>Гаджиев Амиран Расимович</v>
          </cell>
        </row>
        <row r="76">
          <cell r="M76" t="str">
            <v>Цех первичного виноделия</v>
          </cell>
          <cell r="P76" t="str">
            <v>Гусейбеков Найиб Казибекович</v>
          </cell>
        </row>
        <row r="77">
          <cell r="M77" t="str">
            <v>Цех первичного виноделия</v>
          </cell>
          <cell r="P77" t="str">
            <v>Джанмирзаев Эльдар Сефагетович</v>
          </cell>
        </row>
        <row r="78">
          <cell r="M78" t="str">
            <v>Цех первичного виноделия</v>
          </cell>
          <cell r="P78" t="str">
            <v>Курбанов Курбан Магомедович</v>
          </cell>
        </row>
        <row r="79">
          <cell r="M79" t="str">
            <v>Цех первичного виноделия</v>
          </cell>
          <cell r="P79" t="str">
            <v>Магомедов Гаджикурбан Рамалданович</v>
          </cell>
        </row>
        <row r="80">
          <cell r="M80" t="str">
            <v>Цех первичного виноделия</v>
          </cell>
          <cell r="P80" t="str">
            <v>Магомедов Гасан Магомедович</v>
          </cell>
        </row>
        <row r="81">
          <cell r="M81" t="str">
            <v>Цех первичного виноделия</v>
          </cell>
          <cell r="P81" t="str">
            <v>Магомедов Зураб Раджабович</v>
          </cell>
        </row>
        <row r="82">
          <cell r="M82" t="str">
            <v>Цех первичного виноделия</v>
          </cell>
          <cell r="P82" t="str">
            <v>Магомедов Руслан Магомедович</v>
          </cell>
        </row>
        <row r="83">
          <cell r="M83" t="str">
            <v>Цех первичного виноделия</v>
          </cell>
          <cell r="P83" t="str">
            <v>Магомедрасулов Мурад Будукасулмагомедович</v>
          </cell>
        </row>
        <row r="84">
          <cell r="M84" t="str">
            <v>Цех первичного виноделия</v>
          </cell>
          <cell r="P84" t="str">
            <v>Махмудов Адил Саидмарифович</v>
          </cell>
        </row>
        <row r="85">
          <cell r="M85" t="str">
            <v>Цех первичного виноделия</v>
          </cell>
          <cell r="P85" t="str">
            <v>Махмудов Зейнула Адилович</v>
          </cell>
        </row>
        <row r="86">
          <cell r="M86" t="str">
            <v>Цех первичного виноделия</v>
          </cell>
          <cell r="P86" t="str">
            <v>Мирзабеков Мирзабек Курбанович</v>
          </cell>
        </row>
        <row r="87">
          <cell r="M87" t="str">
            <v>Цех первичного виноделия</v>
          </cell>
          <cell r="P87" t="str">
            <v>Мирзаханов Гасан Саламович</v>
          </cell>
        </row>
        <row r="88">
          <cell r="M88" t="str">
            <v>Цех первичного виноделия</v>
          </cell>
          <cell r="P88" t="str">
            <v>Мулькемиров Шихверди Эбулфетович</v>
          </cell>
        </row>
        <row r="89">
          <cell r="M89" t="str">
            <v>Цех первичного виноделия</v>
          </cell>
          <cell r="P89" t="str">
            <v>Муртазаев Бахтияр Алибекович</v>
          </cell>
        </row>
        <row r="90">
          <cell r="M90" t="str">
            <v>Цех первичного виноделия</v>
          </cell>
          <cell r="P90" t="str">
            <v>Нафталиев Тейман Алиярович</v>
          </cell>
        </row>
        <row r="91">
          <cell r="M91" t="str">
            <v>Цех первичного виноделия</v>
          </cell>
          <cell r="P91" t="str">
            <v>Рабаданов Али Габибуллаевич</v>
          </cell>
        </row>
        <row r="92">
          <cell r="M92" t="str">
            <v>Цех первичного виноделия</v>
          </cell>
          <cell r="P92" t="str">
            <v>Рабаданов Назим Алиевич</v>
          </cell>
        </row>
        <row r="93">
          <cell r="M93" t="str">
            <v>Цех первичного виноделия</v>
          </cell>
          <cell r="P93" t="str">
            <v>Раджабов Имам Абдуллаевич</v>
          </cell>
        </row>
        <row r="94">
          <cell r="M94" t="str">
            <v>Цех первичного виноделия</v>
          </cell>
          <cell r="P94" t="str">
            <v>Рамазанов Камиль Эфендиевич</v>
          </cell>
        </row>
        <row r="95">
          <cell r="M95" t="str">
            <v>Цех первичного виноделия</v>
          </cell>
          <cell r="P95" t="str">
            <v>Рамазанов Рамин Рамазанович</v>
          </cell>
        </row>
        <row r="96">
          <cell r="M96" t="str">
            <v>Цех первичного виноделия</v>
          </cell>
          <cell r="P96" t="str">
            <v>Саидалиев Артур Кайсединович</v>
          </cell>
        </row>
        <row r="97">
          <cell r="M97" t="str">
            <v>Цех первичного виноделия</v>
          </cell>
          <cell r="P97" t="str">
            <v>Саидов Ислам Гасанпашаевич</v>
          </cell>
        </row>
        <row r="98">
          <cell r="M98" t="str">
            <v>Цех первичного виноделия</v>
          </cell>
          <cell r="P98" t="str">
            <v>Фейтуллаев Марат Зейнуллаевич</v>
          </cell>
        </row>
        <row r="99">
          <cell r="M99" t="str">
            <v>Цех первичного виноделия</v>
          </cell>
          <cell r="P99" t="str">
            <v>Кафаров Абдулкерим Насретдинович</v>
          </cell>
        </row>
        <row r="100">
          <cell r="M100" t="str">
            <v>Цех первичного виноделия</v>
          </cell>
          <cell r="P100" t="str">
            <v>Мирзабеков Самед Мирзабекович</v>
          </cell>
        </row>
        <row r="101">
          <cell r="M101" t="str">
            <v>Цех первичного виноделия</v>
          </cell>
          <cell r="P101" t="str">
            <v>Раджабов Руслан Исуфович</v>
          </cell>
        </row>
        <row r="102">
          <cell r="M102" t="str">
            <v>Цех первичного виноделия</v>
          </cell>
          <cell r="P102" t="str">
            <v>Сеидов Шихбаба Гаждарович</v>
          </cell>
        </row>
        <row r="103">
          <cell r="M103" t="str">
            <v>Цех первичного виноделия</v>
          </cell>
          <cell r="P103" t="str">
            <v>Пармаклий Максим</v>
          </cell>
        </row>
        <row r="104">
          <cell r="M104" t="str">
            <v>Цех первичного виноделия</v>
          </cell>
          <cell r="P104" t="str">
            <v>Абакаров Амар Абакарович</v>
          </cell>
        </row>
        <row r="105">
          <cell r="M105" t="str">
            <v>Цех первичного виноделия</v>
          </cell>
          <cell r="P105" t="str">
            <v>Абдуллаев Сайдулла Сейфуллахович</v>
          </cell>
        </row>
        <row r="106">
          <cell r="M106" t="str">
            <v>Цех первичного виноделия</v>
          </cell>
          <cell r="P106" t="str">
            <v>Абдурахманов Гаджирамазан Минхажутдинович</v>
          </cell>
        </row>
        <row r="107">
          <cell r="M107" t="str">
            <v>Цех первичного виноделия</v>
          </cell>
          <cell r="P107" t="str">
            <v>Агададашов Руслан Гюльахмедович</v>
          </cell>
        </row>
        <row r="108">
          <cell r="M108" t="str">
            <v>Цех первичного виноделия</v>
          </cell>
          <cell r="P108" t="str">
            <v>Агаев Джалалитдин Валидович</v>
          </cell>
        </row>
        <row r="109">
          <cell r="M109" t="str">
            <v>Цех первичного виноделия</v>
          </cell>
          <cell r="P109" t="str">
            <v>Бегахмедов Заур Агамирзоевич</v>
          </cell>
        </row>
        <row r="110">
          <cell r="M110" t="str">
            <v>Цех первичного виноделия</v>
          </cell>
          <cell r="P110" t="str">
            <v>Гаджиев Абдулгамид Магомедович</v>
          </cell>
        </row>
        <row r="111">
          <cell r="M111" t="str">
            <v>Цех первичного виноделия</v>
          </cell>
          <cell r="P111" t="str">
            <v>Гасанов Муалиф Фатилович</v>
          </cell>
        </row>
        <row r="112">
          <cell r="M112" t="str">
            <v>Цех первичного виноделия</v>
          </cell>
          <cell r="P112" t="str">
            <v>Загирбеков Чупан Асланович</v>
          </cell>
        </row>
        <row r="113">
          <cell r="M113" t="str">
            <v>Цех первичного виноделия</v>
          </cell>
          <cell r="P113" t="str">
            <v>Мирзоев Камиль Ровшанович</v>
          </cell>
        </row>
        <row r="114">
          <cell r="M114" t="str">
            <v>Цех первичного виноделия</v>
          </cell>
          <cell r="P114" t="str">
            <v>Насыров Темирлан Зиявутдинович</v>
          </cell>
        </row>
        <row r="115">
          <cell r="M115" t="str">
            <v>Цех первичного виноделия</v>
          </cell>
          <cell r="P115" t="str">
            <v>Омаров Салатдин Сиражутдинович</v>
          </cell>
        </row>
        <row r="116">
          <cell r="M116" t="str">
            <v>Цех первичного виноделия</v>
          </cell>
          <cell r="P116" t="str">
            <v>Сефербеков Рамил Гасаналиевич</v>
          </cell>
        </row>
        <row r="117">
          <cell r="M117" t="str">
            <v>Цех первичного виноделия</v>
          </cell>
          <cell r="P117" t="str">
            <v>Сулейманов Тажутдин Алиэвсетович</v>
          </cell>
        </row>
        <row r="118">
          <cell r="M118" t="str">
            <v>Цех первичного виноделия</v>
          </cell>
          <cell r="P118" t="str">
            <v>Ферхатов Акиф Гаджиевич</v>
          </cell>
        </row>
        <row r="119">
          <cell r="M119" t="str">
            <v>Цех вторичного виноделия</v>
          </cell>
          <cell r="P119" t="str">
            <v>Авсетов Шейхсаид Расулович</v>
          </cell>
        </row>
        <row r="120">
          <cell r="M120" t="str">
            <v>Цех вторичного виноделия</v>
          </cell>
          <cell r="P120" t="str">
            <v>Ашурбекова Махбуба Манафовна</v>
          </cell>
        </row>
        <row r="121">
          <cell r="M121" t="str">
            <v>Цех вторичного виноделия</v>
          </cell>
          <cell r="P121" t="str">
            <v>Гашимов Ильдар Геннадийевич</v>
          </cell>
        </row>
        <row r="122">
          <cell r="M122" t="str">
            <v>Цех вторичного виноделия</v>
          </cell>
          <cell r="P122" t="str">
            <v>Ибрагимов Арвид Ибрагимович</v>
          </cell>
        </row>
        <row r="123">
          <cell r="M123" t="str">
            <v>Цех вторичного виноделия</v>
          </cell>
          <cell r="P123" t="str">
            <v>Рабаданов Руслан Магомедович</v>
          </cell>
        </row>
        <row r="124">
          <cell r="M124" t="str">
            <v>Цех вторичного виноделия</v>
          </cell>
          <cell r="P124" t="str">
            <v>Яхьяев Яхья Магомедович</v>
          </cell>
        </row>
        <row r="125">
          <cell r="M125" t="str">
            <v>Цех вторичного виноделия</v>
          </cell>
          <cell r="P125" t="str">
            <v>Гаджимурадов Руслан Саламович</v>
          </cell>
        </row>
        <row r="126">
          <cell r="M126" t="str">
            <v>Цех вторичного виноделия</v>
          </cell>
          <cell r="P126" t="str">
            <v>Курбанов Магомед Ахмедович</v>
          </cell>
        </row>
        <row r="127">
          <cell r="M127" t="str">
            <v>Цех вторичного виноделия</v>
          </cell>
          <cell r="P127" t="str">
            <v>Нафталиев Мирзали Алиярович</v>
          </cell>
        </row>
        <row r="128">
          <cell r="M128" t="str">
            <v>Цех вторичного виноделия</v>
          </cell>
          <cell r="P128" t="str">
            <v>Султанов Вадим Закирович</v>
          </cell>
        </row>
        <row r="129">
          <cell r="M129" t="str">
            <v>Цех вторичного виноделия</v>
          </cell>
          <cell r="P129" t="str">
            <v>Зенгиев Адам Саладинович</v>
          </cell>
        </row>
        <row r="130">
          <cell r="M130" t="str">
            <v>Цех вторичного виноделия</v>
          </cell>
          <cell r="P130" t="str">
            <v>Курбанов Эфкан Эльшанович</v>
          </cell>
        </row>
        <row r="131">
          <cell r="M131" t="str">
            <v>Цех вторичного виноделия</v>
          </cell>
          <cell r="P131" t="str">
            <v>Шалбузов Магомедриза Мурадович</v>
          </cell>
        </row>
        <row r="132">
          <cell r="M132" t="str">
            <v>Цех вторичного виноделия</v>
          </cell>
          <cell r="P132" t="str">
            <v>Шихрагимов Альберт Амирович</v>
          </cell>
        </row>
        <row r="133">
          <cell r="M133" t="str">
            <v>Цех игристых вин</v>
          </cell>
          <cell r="P133" t="str">
            <v>Абдурахманов Видади Магомедович</v>
          </cell>
        </row>
        <row r="134">
          <cell r="M134" t="str">
            <v>Цех игристых вин</v>
          </cell>
          <cell r="P134" t="str">
            <v>Магомедов Рамазан Абдуллаевич</v>
          </cell>
        </row>
        <row r="135">
          <cell r="M135" t="str">
            <v>Цех игристых вин</v>
          </cell>
          <cell r="P135" t="str">
            <v>Османов Низам Назимович</v>
          </cell>
        </row>
        <row r="136">
          <cell r="M136" t="str">
            <v>Цех игристых вин</v>
          </cell>
          <cell r="P136" t="str">
            <v>Рабаданов Курбан Хидирбекович</v>
          </cell>
        </row>
        <row r="137">
          <cell r="M137" t="str">
            <v>Цех игристых вин</v>
          </cell>
          <cell r="P137" t="str">
            <v>Седирова Шамала Эрзиевна</v>
          </cell>
        </row>
        <row r="138">
          <cell r="M138" t="str">
            <v>Цех игристых вин</v>
          </cell>
          <cell r="P138" t="str">
            <v>Сулейманов Назим Сиражутинович</v>
          </cell>
        </row>
        <row r="139">
          <cell r="M139" t="str">
            <v>Цех игристых вин</v>
          </cell>
          <cell r="P139" t="str">
            <v>Телешко Виктория Николаевна</v>
          </cell>
        </row>
        <row r="140">
          <cell r="P140" t="str">
            <v>Гасанова Аида</v>
          </cell>
        </row>
        <row r="141">
          <cell r="M141" t="str">
            <v>Лаборатория контроля качества</v>
          </cell>
          <cell r="P141" t="str">
            <v>Гасанова Раида Эльмановна</v>
          </cell>
        </row>
        <row r="142">
          <cell r="M142" t="str">
            <v>Лаборатория контроля качества</v>
          </cell>
          <cell r="P142" t="str">
            <v>Джамалова Раида Джамаловна</v>
          </cell>
        </row>
        <row r="143">
          <cell r="M143" t="str">
            <v>Лаборатория контроля качества</v>
          </cell>
          <cell r="P143" t="str">
            <v>Шебашова Анастасия Валерьевна</v>
          </cell>
        </row>
        <row r="144">
          <cell r="M144" t="str">
            <v>Лаборатория контроля качества</v>
          </cell>
          <cell r="P144" t="str">
            <v>Атякова Анна Андреевна</v>
          </cell>
        </row>
        <row r="145">
          <cell r="M145" t="str">
            <v>Лаборатория контроля качества</v>
          </cell>
          <cell r="P145" t="str">
            <v>Магомедова Нурият Гусеновна</v>
          </cell>
        </row>
        <row r="146">
          <cell r="M146" t="str">
            <v>Лаборатория контроля качества</v>
          </cell>
          <cell r="P146" t="str">
            <v>Михадюк Татьяна Александровна</v>
          </cell>
        </row>
        <row r="147">
          <cell r="M147" t="str">
            <v>Лаборатория контроля качества</v>
          </cell>
          <cell r="P147" t="str">
            <v>Санчирова Александра Сергеевна</v>
          </cell>
        </row>
        <row r="148">
          <cell r="M148" t="str">
            <v>Лаборатория контроля качества</v>
          </cell>
          <cell r="P148" t="str">
            <v>Шестакова Светлана Владимировна</v>
          </cell>
        </row>
        <row r="149">
          <cell r="M149" t="str">
            <v>Лаборатория контроля качества</v>
          </cell>
          <cell r="P149" t="str">
            <v>Ибрагимова Дияна Исаметдиновна</v>
          </cell>
        </row>
        <row r="150">
          <cell r="M150" t="str">
            <v>Лаборатория контроля качества</v>
          </cell>
          <cell r="P150" t="str">
            <v>Иманалиева Тамара Вагидовна</v>
          </cell>
        </row>
        <row r="151">
          <cell r="M151" t="str">
            <v>Лаборатория контроля качества</v>
          </cell>
          <cell r="P151" t="str">
            <v>Эскерова Инжи Рамисовна</v>
          </cell>
        </row>
        <row r="152">
          <cell r="M152" t="str">
            <v>Лаборатория контроля качества</v>
          </cell>
          <cell r="P152" t="str">
            <v>Захарова Мария Олеговна</v>
          </cell>
        </row>
        <row r="153">
          <cell r="M153" t="str">
            <v>Лаборатория контроля качества</v>
          </cell>
          <cell r="P153" t="str">
            <v>Исмаилова Лиана Тимуровна</v>
          </cell>
        </row>
        <row r="154">
          <cell r="M154" t="str">
            <v>Лаборатория контроля качества</v>
          </cell>
          <cell r="P154" t="str">
            <v>Исмаилова Нарима Аддухановна</v>
          </cell>
        </row>
        <row r="155">
          <cell r="M155" t="str">
            <v>Лаборатория контроля качества</v>
          </cell>
          <cell r="P155" t="str">
            <v>Оруджева Лейла Гаджигаибовна</v>
          </cell>
        </row>
        <row r="156">
          <cell r="M156" t="str">
            <v>Лаборатория контроля качества</v>
          </cell>
          <cell r="P156" t="str">
            <v>Султанова Гюлли Султановна</v>
          </cell>
        </row>
        <row r="157">
          <cell r="M157" t="str">
            <v>Лаборатория контроля качества</v>
          </cell>
          <cell r="P157" t="str">
            <v>Умарханова Гюлистан Умархановна</v>
          </cell>
        </row>
        <row r="158">
          <cell r="M158" t="str">
            <v>Лаборатория контроля качества</v>
          </cell>
          <cell r="P158" t="str">
            <v>Алибеков Новрузбек Эмрамович</v>
          </cell>
        </row>
        <row r="159">
          <cell r="M159" t="str">
            <v>Лаборатория контроля качества</v>
          </cell>
          <cell r="P159" t="str">
            <v>Запускалов Игорь Александрович</v>
          </cell>
        </row>
        <row r="160">
          <cell r="M160" t="str">
            <v>Лаборатория контроля качества</v>
          </cell>
          <cell r="P160" t="str">
            <v>Щусь Юлия Валерьевна</v>
          </cell>
        </row>
        <row r="161">
          <cell r="P161" t="str">
            <v>Расулов Ансар Фахратдинович</v>
          </cell>
        </row>
        <row r="162">
          <cell r="M162" t="str">
            <v>Отдел готовой продукции</v>
          </cell>
          <cell r="P162" t="str">
            <v>Бабаев Исмаил Валиевич</v>
          </cell>
        </row>
        <row r="163">
          <cell r="M163" t="str">
            <v>Отдел готовой продукции</v>
          </cell>
          <cell r="P163" t="str">
            <v>Иманалиев Анвар Яралиевич</v>
          </cell>
        </row>
        <row r="164">
          <cell r="M164" t="str">
            <v>Отдел готовой продукции</v>
          </cell>
          <cell r="P164" t="str">
            <v>Магомедов Муслим Гаджиевич</v>
          </cell>
        </row>
        <row r="165">
          <cell r="M165" t="str">
            <v>Отдел готовой продукции</v>
          </cell>
          <cell r="P165" t="str">
            <v>Эмирханов Ренат Аскерович</v>
          </cell>
        </row>
        <row r="166">
          <cell r="M166" t="str">
            <v>Отдел готовой продукции</v>
          </cell>
          <cell r="P166" t="str">
            <v>Мусаева Зарема Файзиловна</v>
          </cell>
        </row>
        <row r="167">
          <cell r="M167" t="str">
            <v>Отдел готовой продукции</v>
          </cell>
          <cell r="P167" t="str">
            <v>Абдуллаев Экпер Расимович</v>
          </cell>
        </row>
        <row r="168">
          <cell r="M168" t="str">
            <v>Отдел готовой продукции</v>
          </cell>
          <cell r="P168" t="str">
            <v>Алибеков Раул Халилович</v>
          </cell>
        </row>
        <row r="169">
          <cell r="M169" t="str">
            <v>Отдел готовой продукции</v>
          </cell>
          <cell r="P169" t="str">
            <v>Ахундов Гусейн Адилович</v>
          </cell>
        </row>
        <row r="170">
          <cell r="M170" t="str">
            <v>Отдел готовой продукции</v>
          </cell>
          <cell r="P170" t="str">
            <v>Ашурбеков Амир Исамутдинович</v>
          </cell>
        </row>
        <row r="171">
          <cell r="M171" t="str">
            <v>Отдел готовой продукции</v>
          </cell>
          <cell r="P171" t="str">
            <v>Гаджиев Расим Ашурбегович</v>
          </cell>
        </row>
        <row r="172">
          <cell r="M172" t="str">
            <v>Отдел готовой продукции</v>
          </cell>
          <cell r="P172" t="str">
            <v>Керимов Эрлан Тегранович</v>
          </cell>
        </row>
        <row r="173">
          <cell r="M173" t="str">
            <v>Отдел готовой продукции</v>
          </cell>
          <cell r="P173" t="str">
            <v>Курбанов Магомед Османович</v>
          </cell>
        </row>
        <row r="174">
          <cell r="M174" t="str">
            <v>Отдел готовой продукции</v>
          </cell>
          <cell r="P174" t="str">
            <v>Рашидов Шамсулла Зейнетдинович</v>
          </cell>
        </row>
        <row r="175">
          <cell r="M175" t="str">
            <v>Отдел готовой продукции</v>
          </cell>
          <cell r="P175" t="str">
            <v>Шихалиев Физули Афлетдинович</v>
          </cell>
        </row>
        <row r="176">
          <cell r="M176" t="str">
            <v>Отдел готовой продукции</v>
          </cell>
          <cell r="P176" t="str">
            <v>Гаджиев Тимур Мурадович</v>
          </cell>
        </row>
        <row r="177">
          <cell r="M177" t="str">
            <v>Отдел готовой продукции</v>
          </cell>
          <cell r="P177" t="str">
            <v>Гюлечов Ризван Абдулбасирович</v>
          </cell>
        </row>
        <row r="178">
          <cell r="M178" t="str">
            <v>Отдел готовой продукции</v>
          </cell>
          <cell r="P178" t="str">
            <v>Гюльбалаев Эльмар Джавадханович</v>
          </cell>
        </row>
        <row r="179">
          <cell r="M179" t="str">
            <v>Отдел готовой продукции</v>
          </cell>
          <cell r="P179" t="str">
            <v>Ризаев Азим Тимурович</v>
          </cell>
        </row>
        <row r="180">
          <cell r="M180" t="str">
            <v>Отдел сырья и материалов</v>
          </cell>
          <cell r="P180" t="str">
            <v>Бабаев Вадим Нурудинович</v>
          </cell>
        </row>
        <row r="181">
          <cell r="M181" t="str">
            <v>Отдел сырья и материалов</v>
          </cell>
          <cell r="P181" t="str">
            <v>Керимов Гаджимирза Мугутдинович</v>
          </cell>
        </row>
        <row r="182">
          <cell r="M182" t="str">
            <v>Отдел сырья и материалов</v>
          </cell>
          <cell r="P182" t="str">
            <v>Нурмагомедова Сельми Гусайниевна</v>
          </cell>
        </row>
        <row r="183">
          <cell r="M183" t="str">
            <v>Отдел сырья и материалов</v>
          </cell>
          <cell r="P183" t="str">
            <v>Султанов Рамин Арабханович</v>
          </cell>
        </row>
        <row r="184">
          <cell r="M184" t="str">
            <v>Отдел сырья и материалов</v>
          </cell>
          <cell r="P184" t="str">
            <v>Ферзиев Арсен Реманович</v>
          </cell>
        </row>
        <row r="185">
          <cell r="M185" t="str">
            <v>Отдел сырья и материалов</v>
          </cell>
          <cell r="P185" t="str">
            <v>Ибрагимов Нариман Айдинбекович</v>
          </cell>
        </row>
        <row r="186">
          <cell r="P186" t="str">
            <v>Горбачева Марина Витальевна</v>
          </cell>
        </row>
        <row r="187">
          <cell r="P187" t="str">
            <v>Бабаева Назиля Юсуфовна</v>
          </cell>
        </row>
        <row r="188">
          <cell r="P188" t="str">
            <v>Иманалиев Загир Зебюллаевич</v>
          </cell>
        </row>
        <row r="189">
          <cell r="P189" t="str">
            <v>Лебедь Алла Анатольевна</v>
          </cell>
        </row>
        <row r="190">
          <cell r="P190" t="str">
            <v>Абдулкадиров Абдулкадыр Адамович</v>
          </cell>
        </row>
        <row r="191">
          <cell r="P191" t="str">
            <v>Абдурагимов Шихзада Казимирович</v>
          </cell>
        </row>
        <row r="192">
          <cell r="P192" t="str">
            <v>Алиев Хаям Джабирович</v>
          </cell>
        </row>
        <row r="193">
          <cell r="P193" t="str">
            <v>Бабаева Наиле Нусретовна</v>
          </cell>
        </row>
        <row r="194">
          <cell r="P194" t="str">
            <v>Гаджимагомедова Аида Амирхановна</v>
          </cell>
        </row>
        <row r="195">
          <cell r="P195" t="str">
            <v>Исмаилов Магомедсаид Заманович</v>
          </cell>
        </row>
        <row r="196">
          <cell r="P196" t="str">
            <v>Исмаилова Мария Вагидовна</v>
          </cell>
        </row>
        <row r="197">
          <cell r="P197" t="str">
            <v>Кандаев Загир Шарипович</v>
          </cell>
        </row>
        <row r="198">
          <cell r="P198" t="str">
            <v>Керимов Разим Фехретдинович</v>
          </cell>
        </row>
        <row r="199">
          <cell r="P199" t="str">
            <v>Курбанов Ахмед Хасбулатович</v>
          </cell>
        </row>
        <row r="200">
          <cell r="P200" t="str">
            <v>Курбанова Эсмира Бинедиевна</v>
          </cell>
        </row>
        <row r="201">
          <cell r="P201" t="str">
            <v>Магомедов Ислам Магомедович</v>
          </cell>
        </row>
        <row r="202">
          <cell r="P202" t="str">
            <v>Мердалиев Нариман Разимагомедович</v>
          </cell>
        </row>
        <row r="203">
          <cell r="P203" t="str">
            <v>Нурова Марина Селимхановна</v>
          </cell>
        </row>
        <row r="204">
          <cell r="P204" t="str">
            <v>Османова Рукият Магомедэминовна</v>
          </cell>
        </row>
        <row r="205">
          <cell r="P205" t="str">
            <v>Саидова Саират Муртазалиевна</v>
          </cell>
        </row>
        <row r="206">
          <cell r="P206" t="str">
            <v>Учакаев Аслан Имануллаевич</v>
          </cell>
        </row>
        <row r="207">
          <cell r="M207" t="str">
            <v>Группа контрактного производства</v>
          </cell>
          <cell r="P207" t="str">
            <v>Маллалиев Сабир Зейнутдинович</v>
          </cell>
        </row>
        <row r="208">
          <cell r="M208" t="str">
            <v>Группа контрактного производства</v>
          </cell>
          <cell r="P208" t="str">
            <v>Абдурахманов Керимхан Назимович</v>
          </cell>
        </row>
        <row r="209">
          <cell r="M209" t="str">
            <v>Группа контрактного производства</v>
          </cell>
          <cell r="P209" t="str">
            <v>Алиев Магомедали Афизович</v>
          </cell>
        </row>
        <row r="210">
          <cell r="M210" t="str">
            <v>Группа контрактного производства</v>
          </cell>
          <cell r="P210" t="str">
            <v>Гаджиагаев Раудин Магомедович</v>
          </cell>
        </row>
        <row r="211">
          <cell r="M211" t="str">
            <v>Группа контрактного производства</v>
          </cell>
          <cell r="P211" t="str">
            <v>Гасанов Арсен Бахтиярович</v>
          </cell>
        </row>
        <row r="212">
          <cell r="M212" t="str">
            <v>Группа контрактного производства</v>
          </cell>
          <cell r="P212" t="str">
            <v>Гашимов Вараз Шарафутдинович</v>
          </cell>
        </row>
        <row r="213">
          <cell r="M213" t="str">
            <v>Группа контрактного производства</v>
          </cell>
          <cell r="P213" t="str">
            <v>Иманалиев Тагир Шемсуллаевич</v>
          </cell>
        </row>
        <row r="214">
          <cell r="M214" t="str">
            <v>Группа контрактного производства</v>
          </cell>
          <cell r="P214" t="str">
            <v>Исаков Фарид Нежефович</v>
          </cell>
        </row>
        <row r="215">
          <cell r="M215" t="str">
            <v>Группа контрактного производства</v>
          </cell>
          <cell r="P215" t="str">
            <v>Мамедбеков Фикрет Афисович</v>
          </cell>
        </row>
        <row r="216">
          <cell r="M216" t="str">
            <v>Группа контрактного производства</v>
          </cell>
          <cell r="P216" t="str">
            <v>Сейидов Икрам Эстенгерович</v>
          </cell>
        </row>
        <row r="217">
          <cell r="M217" t="str">
            <v>Группа контрактного производства</v>
          </cell>
          <cell r="P217" t="str">
            <v>Тимиров Эдуард Гусейнович</v>
          </cell>
        </row>
        <row r="218">
          <cell r="M218" t="str">
            <v>Группа контрактного производства</v>
          </cell>
          <cell r="P218" t="str">
            <v>Фейтуллаев Амин Зейнуллаевич</v>
          </cell>
        </row>
        <row r="219">
          <cell r="M219" t="str">
            <v>Группа контрактного производства</v>
          </cell>
          <cell r="P219" t="str">
            <v>Шамсиев Икрам Ниязутдинович</v>
          </cell>
        </row>
        <row r="220">
          <cell r="P220" t="str">
            <v>Казалиева Асият Алиевна</v>
          </cell>
        </row>
        <row r="221">
          <cell r="P221" t="str">
            <v>Касаев Георгий Олегович</v>
          </cell>
        </row>
        <row r="222">
          <cell r="P222" t="str">
            <v>Ракова Ирина Константиновна</v>
          </cell>
        </row>
        <row r="223">
          <cell r="P223" t="str">
            <v>Федулов Дмитрий Александрович</v>
          </cell>
        </row>
        <row r="224">
          <cell r="M224" t="str">
            <v>Группа учета затрат и заработной платы</v>
          </cell>
          <cell r="P224" t="str">
            <v>Гасанбекова Ильвира Гаджибековна</v>
          </cell>
        </row>
        <row r="225">
          <cell r="M225" t="str">
            <v>Группа производственного учета</v>
          </cell>
          <cell r="P225" t="str">
            <v>Гималдинова Марина Геннадьевна</v>
          </cell>
        </row>
        <row r="226">
          <cell r="M226" t="str">
            <v>Группа производственного учета</v>
          </cell>
          <cell r="P226" t="str">
            <v>Акжасарова Майя Дженисовна</v>
          </cell>
        </row>
        <row r="227">
          <cell r="M227" t="str">
            <v>Группа производственного учета</v>
          </cell>
          <cell r="P227" t="str">
            <v>Федулова Мария Олеговна</v>
          </cell>
        </row>
        <row r="228">
          <cell r="M228" t="str">
            <v>Группа производственного учета</v>
          </cell>
          <cell r="P228" t="str">
            <v>Шабанова Шемья Мугутдиновна</v>
          </cell>
        </row>
        <row r="229">
          <cell r="M229" t="str">
            <v>Группа производственного учета</v>
          </cell>
          <cell r="P229" t="str">
            <v>Колотеева Анна Александровна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78"/>
  <sheetViews>
    <sheetView showGridLines="0" topLeftCell="A23" zoomScale="130" zoomScaleNormal="130" workbookViewId="0">
      <selection activeCell="F34" sqref="F34"/>
    </sheetView>
  </sheetViews>
  <sheetFormatPr defaultRowHeight="14.4" x14ac:dyDescent="0.3"/>
  <cols>
    <col min="1" max="1" width="3.88671875" customWidth="1"/>
    <col min="3" max="3" width="1.5546875" customWidth="1"/>
    <col min="4" max="4" width="11.109375" customWidth="1"/>
    <col min="5" max="6" width="1.5546875" customWidth="1"/>
  </cols>
  <sheetData>
    <row r="1" spans="2:25" ht="15" thickBot="1" x14ac:dyDescent="0.35"/>
    <row r="2" spans="2:25" ht="36" customHeight="1" thickBot="1" x14ac:dyDescent="0.35">
      <c r="B2" s="224" t="s">
        <v>177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6"/>
    </row>
    <row r="3" spans="2:25" ht="7.5" customHeight="1" x14ac:dyDescent="0.3"/>
    <row r="4" spans="2:25" x14ac:dyDescent="0.3">
      <c r="B4" s="223" t="s">
        <v>178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</row>
    <row r="5" spans="2:25" ht="7.5" customHeight="1" x14ac:dyDescent="0.3"/>
    <row r="6" spans="2:25" ht="30" customHeight="1" x14ac:dyDescent="0.3">
      <c r="B6" s="231" t="s">
        <v>179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</row>
    <row r="7" spans="2:25" x14ac:dyDescent="0.3"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</row>
    <row r="8" spans="2:25" x14ac:dyDescent="0.3"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</row>
    <row r="9" spans="2:25" ht="7.5" customHeight="1" x14ac:dyDescent="0.3"/>
    <row r="10" spans="2:25" x14ac:dyDescent="0.3">
      <c r="B10" s="223" t="s">
        <v>180</v>
      </c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</row>
    <row r="11" spans="2:25" ht="7.5" customHeight="1" x14ac:dyDescent="0.3"/>
    <row r="12" spans="2:25" x14ac:dyDescent="0.3">
      <c r="B12" s="227"/>
      <c r="C12" s="228"/>
      <c r="D12" s="229"/>
      <c r="E12" s="230"/>
      <c r="G12" s="223" t="s">
        <v>181</v>
      </c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</row>
    <row r="13" spans="2:25" ht="7.5" customHeight="1" x14ac:dyDescent="0.3"/>
    <row r="14" spans="2:25" x14ac:dyDescent="0.3">
      <c r="B14" s="37"/>
      <c r="C14" s="41"/>
      <c r="D14" s="41"/>
      <c r="E14" s="38"/>
      <c r="G14" s="223" t="s">
        <v>182</v>
      </c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</row>
    <row r="15" spans="2:25" ht="7.5" customHeight="1" x14ac:dyDescent="0.3"/>
    <row r="16" spans="2:25" x14ac:dyDescent="0.3">
      <c r="B16" s="39"/>
      <c r="C16" s="42"/>
      <c r="D16" s="42"/>
      <c r="E16" s="40"/>
      <c r="G16" s="223" t="s">
        <v>183</v>
      </c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</row>
    <row r="17" spans="2:25" ht="7.5" customHeight="1" x14ac:dyDescent="0.3"/>
    <row r="18" spans="2:25" x14ac:dyDescent="0.3">
      <c r="B18" t="s">
        <v>188</v>
      </c>
    </row>
    <row r="19" spans="2:25" ht="7.5" customHeight="1" x14ac:dyDescent="0.3"/>
    <row r="20" spans="2:25" x14ac:dyDescent="0.3">
      <c r="B20" s="223" t="s">
        <v>207</v>
      </c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</row>
    <row r="21" spans="2:25" ht="7.5" customHeight="1" thickBot="1" x14ac:dyDescent="0.35"/>
    <row r="22" spans="2:25" x14ac:dyDescent="0.3">
      <c r="B22" s="219"/>
      <c r="C22" s="54"/>
      <c r="D22" s="213" t="s">
        <v>212</v>
      </c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4"/>
    </row>
    <row r="23" spans="2:25" ht="15" thickBot="1" x14ac:dyDescent="0.35">
      <c r="B23" s="220"/>
      <c r="C23" s="55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8"/>
    </row>
    <row r="24" spans="2:25" ht="7.5" customHeight="1" thickBot="1" x14ac:dyDescent="0.35"/>
    <row r="25" spans="2:25" ht="15" customHeight="1" x14ac:dyDescent="0.3">
      <c r="B25" s="219"/>
      <c r="C25" s="54"/>
      <c r="D25" s="213" t="s">
        <v>186</v>
      </c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4"/>
    </row>
    <row r="26" spans="2:25" x14ac:dyDescent="0.3">
      <c r="B26" s="221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6"/>
    </row>
    <row r="27" spans="2:25" x14ac:dyDescent="0.3">
      <c r="B27" s="56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6"/>
    </row>
    <row r="28" spans="2:25" x14ac:dyDescent="0.3">
      <c r="B28" s="56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6"/>
    </row>
    <row r="29" spans="2:25" ht="15" thickBot="1" x14ac:dyDescent="0.35">
      <c r="B29" s="57"/>
      <c r="C29" s="55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8"/>
    </row>
    <row r="30" spans="2:25" ht="7.5" customHeight="1" thickBot="1" x14ac:dyDescent="0.35"/>
    <row r="31" spans="2:25" x14ac:dyDescent="0.3">
      <c r="B31" s="58"/>
      <c r="C31" s="54"/>
      <c r="D31" s="59" t="s">
        <v>187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60"/>
    </row>
    <row r="32" spans="2:25" x14ac:dyDescent="0.3">
      <c r="B32" s="56"/>
      <c r="D32" s="61" t="s">
        <v>8</v>
      </c>
      <c r="E32" t="s">
        <v>185</v>
      </c>
      <c r="G32" t="s">
        <v>48</v>
      </c>
      <c r="Y32" s="62"/>
    </row>
    <row r="33" spans="2:25" x14ac:dyDescent="0.3">
      <c r="B33" s="56"/>
      <c r="D33" s="61" t="s">
        <v>60</v>
      </c>
      <c r="E33" t="s">
        <v>185</v>
      </c>
      <c r="G33" t="s">
        <v>61</v>
      </c>
      <c r="Y33" s="62"/>
    </row>
    <row r="34" spans="2:25" x14ac:dyDescent="0.3">
      <c r="B34" s="56"/>
      <c r="D34" s="61" t="s">
        <v>9</v>
      </c>
      <c r="E34" t="s">
        <v>185</v>
      </c>
      <c r="G34" t="s">
        <v>66</v>
      </c>
      <c r="Y34" s="62"/>
    </row>
    <row r="35" spans="2:25" x14ac:dyDescent="0.3">
      <c r="B35" s="56"/>
      <c r="D35" s="61" t="s">
        <v>10</v>
      </c>
      <c r="E35" t="s">
        <v>185</v>
      </c>
      <c r="G35" t="s">
        <v>56</v>
      </c>
      <c r="Y35" s="62"/>
    </row>
    <row r="36" spans="2:25" x14ac:dyDescent="0.3">
      <c r="B36" s="56"/>
      <c r="D36" s="61" t="s">
        <v>11</v>
      </c>
      <c r="E36" t="s">
        <v>185</v>
      </c>
      <c r="G36" t="s">
        <v>57</v>
      </c>
      <c r="Y36" s="62"/>
    </row>
    <row r="37" spans="2:25" x14ac:dyDescent="0.3">
      <c r="B37" s="56"/>
      <c r="D37" s="61" t="s">
        <v>12</v>
      </c>
      <c r="E37" t="s">
        <v>185</v>
      </c>
      <c r="G37" t="s">
        <v>58</v>
      </c>
      <c r="Y37" s="62"/>
    </row>
    <row r="38" spans="2:25" x14ac:dyDescent="0.3">
      <c r="B38" s="56"/>
      <c r="D38" s="61" t="s">
        <v>13</v>
      </c>
      <c r="E38" t="s">
        <v>185</v>
      </c>
      <c r="G38" t="s">
        <v>59</v>
      </c>
      <c r="Y38" s="62"/>
    </row>
    <row r="39" spans="2:25" x14ac:dyDescent="0.3">
      <c r="B39" s="56"/>
      <c r="D39" s="61" t="s">
        <v>49</v>
      </c>
      <c r="E39" t="s">
        <v>185</v>
      </c>
      <c r="G39" t="s">
        <v>50</v>
      </c>
      <c r="Y39" s="62"/>
    </row>
    <row r="40" spans="2:25" x14ac:dyDescent="0.3">
      <c r="B40" s="56"/>
      <c r="D40" s="61" t="s">
        <v>14</v>
      </c>
      <c r="E40" t="s">
        <v>185</v>
      </c>
      <c r="G40" t="s">
        <v>51</v>
      </c>
      <c r="Y40" s="62"/>
    </row>
    <row r="41" spans="2:25" x14ac:dyDescent="0.3">
      <c r="B41" s="56"/>
      <c r="D41" s="61" t="s">
        <v>52</v>
      </c>
      <c r="E41" t="s">
        <v>185</v>
      </c>
      <c r="G41" t="s">
        <v>53</v>
      </c>
      <c r="Y41" s="62"/>
    </row>
    <row r="42" spans="2:25" x14ac:dyDescent="0.3">
      <c r="B42" s="56"/>
      <c r="D42" s="61" t="s">
        <v>54</v>
      </c>
      <c r="E42" t="s">
        <v>185</v>
      </c>
      <c r="G42" t="s">
        <v>55</v>
      </c>
      <c r="Y42" s="62"/>
    </row>
    <row r="43" spans="2:25" x14ac:dyDescent="0.3">
      <c r="B43" s="56"/>
      <c r="D43" s="61" t="s">
        <v>176</v>
      </c>
      <c r="E43" t="s">
        <v>185</v>
      </c>
      <c r="G43" t="s">
        <v>189</v>
      </c>
      <c r="Y43" s="62"/>
    </row>
    <row r="44" spans="2:25" ht="7.5" customHeight="1" thickBot="1" x14ac:dyDescent="0.35">
      <c r="B44" s="56"/>
      <c r="Y44" s="62"/>
    </row>
    <row r="45" spans="2:25" ht="7.5" customHeight="1" x14ac:dyDescent="0.3"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5"/>
    </row>
    <row r="46" spans="2:25" ht="33.6" customHeight="1" x14ac:dyDescent="0.3">
      <c r="B46" s="64"/>
      <c r="C46" s="46"/>
      <c r="D46" s="50" t="s">
        <v>192</v>
      </c>
      <c r="E46" s="222"/>
      <c r="F46" s="222"/>
      <c r="G46" s="222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46"/>
      <c r="S46" s="46"/>
      <c r="T46" s="46"/>
      <c r="U46" s="46"/>
      <c r="V46" s="46"/>
      <c r="W46" s="46"/>
      <c r="X46" s="46"/>
      <c r="Y46" s="51"/>
    </row>
    <row r="47" spans="2:25" x14ac:dyDescent="0.3">
      <c r="B47" s="64"/>
      <c r="C47" s="63" t="s">
        <v>191</v>
      </c>
      <c r="D47" s="46" t="s">
        <v>193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51"/>
    </row>
    <row r="48" spans="2:25" x14ac:dyDescent="0.3">
      <c r="B48" s="64"/>
      <c r="C48" s="63" t="s">
        <v>194</v>
      </c>
      <c r="D48" s="53" t="s">
        <v>195</v>
      </c>
      <c r="E48" s="46"/>
      <c r="F48" s="53"/>
      <c r="G48" s="46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46"/>
      <c r="S48" s="46"/>
      <c r="T48" s="46"/>
      <c r="U48" s="46"/>
      <c r="V48" s="46"/>
      <c r="W48" s="46"/>
      <c r="X48" s="46"/>
      <c r="Y48" s="51"/>
    </row>
    <row r="49" spans="2:25" ht="7.5" customHeight="1" thickBot="1" x14ac:dyDescent="0.35"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9"/>
    </row>
    <row r="50" spans="2:25" ht="7.5" customHeight="1" thickBot="1" x14ac:dyDescent="0.35"/>
    <row r="51" spans="2:25" x14ac:dyDescent="0.3">
      <c r="B51" s="219"/>
      <c r="C51" s="54"/>
      <c r="D51" s="213" t="s">
        <v>184</v>
      </c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4"/>
    </row>
    <row r="52" spans="2:25" x14ac:dyDescent="0.3">
      <c r="B52" s="221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6"/>
    </row>
    <row r="53" spans="2:25" ht="7.5" customHeight="1" x14ac:dyDescent="0.3">
      <c r="B53" s="56"/>
      <c r="Y53" s="62"/>
    </row>
    <row r="54" spans="2:25" x14ac:dyDescent="0.3">
      <c r="B54" s="56" t="s">
        <v>190</v>
      </c>
      <c r="Y54" s="62"/>
    </row>
    <row r="55" spans="2:25" ht="7.5" customHeight="1" x14ac:dyDescent="0.3">
      <c r="B55" s="56"/>
      <c r="Y55" s="62"/>
    </row>
    <row r="56" spans="2:25" x14ac:dyDescent="0.3">
      <c r="B56" s="65" t="s">
        <v>191</v>
      </c>
      <c r="D56" t="s">
        <v>213</v>
      </c>
      <c r="Y56" s="62"/>
    </row>
    <row r="57" spans="2:25" x14ac:dyDescent="0.3">
      <c r="B57" s="65" t="s">
        <v>194</v>
      </c>
      <c r="D57" t="s">
        <v>196</v>
      </c>
      <c r="Y57" s="62"/>
    </row>
    <row r="58" spans="2:25" x14ac:dyDescent="0.3">
      <c r="B58" s="65" t="s">
        <v>197</v>
      </c>
      <c r="D58" t="s">
        <v>199</v>
      </c>
      <c r="Y58" s="62"/>
    </row>
    <row r="59" spans="2:25" x14ac:dyDescent="0.3">
      <c r="B59" s="65" t="s">
        <v>200</v>
      </c>
      <c r="D59" t="s">
        <v>198</v>
      </c>
      <c r="Y59" s="62"/>
    </row>
    <row r="60" spans="2:25" x14ac:dyDescent="0.3">
      <c r="B60" s="65" t="s">
        <v>201</v>
      </c>
      <c r="D60" t="s">
        <v>206</v>
      </c>
      <c r="Y60" s="62"/>
    </row>
    <row r="61" spans="2:25" x14ac:dyDescent="0.3">
      <c r="B61" s="65" t="s">
        <v>202</v>
      </c>
      <c r="D61" t="s">
        <v>209</v>
      </c>
      <c r="Y61" s="62"/>
    </row>
    <row r="62" spans="2:25" x14ac:dyDescent="0.3">
      <c r="B62" s="65"/>
      <c r="Y62" s="62"/>
    </row>
    <row r="63" spans="2:25" x14ac:dyDescent="0.3">
      <c r="B63" s="65"/>
      <c r="Y63" s="62"/>
    </row>
    <row r="64" spans="2:25" x14ac:dyDescent="0.3">
      <c r="B64" s="65"/>
      <c r="Y64" s="62"/>
    </row>
    <row r="65" spans="2:25" x14ac:dyDescent="0.3">
      <c r="B65" s="65"/>
      <c r="Y65" s="62"/>
    </row>
    <row r="66" spans="2:25" x14ac:dyDescent="0.3">
      <c r="B66" s="66"/>
      <c r="Y66" s="62"/>
    </row>
    <row r="67" spans="2:25" x14ac:dyDescent="0.3">
      <c r="B67" s="66"/>
      <c r="Y67" s="62"/>
    </row>
    <row r="68" spans="2:25" x14ac:dyDescent="0.3">
      <c r="B68" s="56"/>
      <c r="Y68" s="62"/>
    </row>
    <row r="69" spans="2:25" x14ac:dyDescent="0.3">
      <c r="B69" s="56"/>
      <c r="Y69" s="62"/>
    </row>
    <row r="70" spans="2:25" x14ac:dyDescent="0.3">
      <c r="B70" s="56"/>
      <c r="Y70" s="62"/>
    </row>
    <row r="71" spans="2:25" x14ac:dyDescent="0.3">
      <c r="B71" s="56"/>
      <c r="Y71" s="62"/>
    </row>
    <row r="72" spans="2:25" x14ac:dyDescent="0.3">
      <c r="B72" s="65" t="s">
        <v>203</v>
      </c>
      <c r="D72" t="s">
        <v>208</v>
      </c>
      <c r="Y72" s="62"/>
    </row>
    <row r="73" spans="2:25" x14ac:dyDescent="0.3">
      <c r="B73" s="65" t="s">
        <v>204</v>
      </c>
      <c r="D73" t="s">
        <v>210</v>
      </c>
      <c r="Y73" s="62"/>
    </row>
    <row r="74" spans="2:25" ht="15" thickBot="1" x14ac:dyDescent="0.35">
      <c r="B74" s="67" t="s">
        <v>205</v>
      </c>
      <c r="C74" s="55"/>
      <c r="D74" s="55" t="s">
        <v>211</v>
      </c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68"/>
    </row>
    <row r="75" spans="2:25" x14ac:dyDescent="0.3">
      <c r="B75" s="52"/>
    </row>
    <row r="76" spans="2:25" x14ac:dyDescent="0.3">
      <c r="B76" s="52"/>
    </row>
    <row r="77" spans="2:25" x14ac:dyDescent="0.3">
      <c r="B77" s="52"/>
    </row>
    <row r="78" spans="2:25" x14ac:dyDescent="0.3">
      <c r="B78" s="52"/>
    </row>
  </sheetData>
  <mergeCells count="17">
    <mergeCell ref="G16:Y16"/>
    <mergeCell ref="B20:Y20"/>
    <mergeCell ref="D22:Y23"/>
    <mergeCell ref="B2:Y2"/>
    <mergeCell ref="B4:Y4"/>
    <mergeCell ref="B10:Y10"/>
    <mergeCell ref="G12:Y12"/>
    <mergeCell ref="G14:Y14"/>
    <mergeCell ref="B12:C12"/>
    <mergeCell ref="D12:E12"/>
    <mergeCell ref="B6:Y8"/>
    <mergeCell ref="D25:Y29"/>
    <mergeCell ref="B22:B23"/>
    <mergeCell ref="B51:B52"/>
    <mergeCell ref="B25:B26"/>
    <mergeCell ref="D51:Y52"/>
    <mergeCell ref="E46:G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E23"/>
  <sheetViews>
    <sheetView tabSelected="1" topLeftCell="H4" zoomScale="85" zoomScaleNormal="85" workbookViewId="0">
      <selection activeCell="I21" sqref="I21"/>
    </sheetView>
  </sheetViews>
  <sheetFormatPr defaultColWidth="9.109375" defaultRowHeight="14.4" x14ac:dyDescent="0.3"/>
  <cols>
    <col min="1" max="1" width="4.109375" style="1" customWidth="1"/>
    <col min="2" max="2" width="4.109375" style="1" bestFit="1" customWidth="1"/>
    <col min="3" max="3" width="30.109375" style="1" customWidth="1"/>
    <col min="4" max="4" width="17.109375" style="1" customWidth="1"/>
    <col min="5" max="5" width="30.109375" style="1" bestFit="1" customWidth="1"/>
    <col min="6" max="6" width="39.33203125" style="1" customWidth="1"/>
    <col min="7" max="7" width="18.109375" style="1" bestFit="1" customWidth="1"/>
    <col min="8" max="8" width="38.88671875" style="1" customWidth="1"/>
    <col min="9" max="12" width="8.44140625" style="1" bestFit="1" customWidth="1"/>
    <col min="13" max="13" width="8.44140625" style="1" customWidth="1"/>
    <col min="14" max="17" width="8.44140625" style="1" bestFit="1" customWidth="1"/>
    <col min="18" max="38" width="9.44140625" style="1" bestFit="1" customWidth="1"/>
    <col min="39" max="40" width="9" style="1" customWidth="1"/>
    <col min="41" max="41" width="14.5546875" style="1" bestFit="1" customWidth="1"/>
    <col min="42" max="42" width="13.33203125" style="1" bestFit="1" customWidth="1"/>
    <col min="43" max="43" width="18.33203125" style="1" bestFit="1" customWidth="1"/>
    <col min="44" max="44" width="16.5546875" style="1" bestFit="1" customWidth="1"/>
    <col min="45" max="45" width="18.5546875" style="1" bestFit="1" customWidth="1"/>
    <col min="46" max="46" width="29.109375" style="1" bestFit="1" customWidth="1"/>
    <col min="47" max="48" width="9" style="1" customWidth="1"/>
    <col min="49" max="49" width="13.44140625" style="1" customWidth="1"/>
    <col min="50" max="50" width="13.33203125" style="1" bestFit="1" customWidth="1"/>
    <col min="51" max="51" width="18.33203125" style="1" bestFit="1" customWidth="1"/>
    <col min="52" max="52" width="16.5546875" style="1" bestFit="1" customWidth="1"/>
    <col min="53" max="53" width="18.5546875" style="1" bestFit="1" customWidth="1"/>
    <col min="54" max="54" width="29.109375" style="1" bestFit="1" customWidth="1"/>
    <col min="55" max="55" width="57" style="1" customWidth="1"/>
    <col min="56" max="57" width="4.44140625" style="1" customWidth="1"/>
    <col min="58" max="58" width="9.109375" style="1"/>
    <col min="59" max="59" width="10.33203125" style="1" bestFit="1" customWidth="1"/>
    <col min="60" max="16384" width="9.109375" style="1"/>
  </cols>
  <sheetData>
    <row r="1" spans="2:57" x14ac:dyDescent="0.3">
      <c r="Y1"/>
    </row>
    <row r="2" spans="2:57" x14ac:dyDescent="0.3">
      <c r="C2" s="107"/>
      <c r="I2" s="107"/>
      <c r="Y2"/>
      <c r="AM2" s="107"/>
    </row>
    <row r="3" spans="2:57" x14ac:dyDescent="0.3">
      <c r="C3" s="107"/>
      <c r="I3" s="107"/>
      <c r="AM3" s="107"/>
    </row>
    <row r="4" spans="2:57" ht="15" thickBot="1" x14ac:dyDescent="0.35"/>
    <row r="5" spans="2:57" ht="30" customHeight="1" x14ac:dyDescent="0.3">
      <c r="B5" s="188" t="s">
        <v>34</v>
      </c>
      <c r="C5" s="108" t="s">
        <v>65</v>
      </c>
      <c r="D5" s="191" t="s">
        <v>23</v>
      </c>
      <c r="E5" s="131" t="s">
        <v>165</v>
      </c>
      <c r="F5" s="125" t="s">
        <v>168</v>
      </c>
      <c r="G5" s="137" t="s">
        <v>64</v>
      </c>
      <c r="H5" s="125" t="str">
        <f>IFERROR(INDEX(#REF!,MATCH(пример!$C$9,#REF!,0)),"")</f>
        <v/>
      </c>
      <c r="I5" s="127" t="s">
        <v>62</v>
      </c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31" t="s">
        <v>39</v>
      </c>
      <c r="AN5" s="132"/>
      <c r="AO5" s="132"/>
      <c r="AP5" s="132"/>
      <c r="AQ5" s="132"/>
      <c r="AR5" s="132"/>
      <c r="AS5" s="132"/>
      <c r="AT5" s="133"/>
      <c r="AU5" s="205" t="s">
        <v>174</v>
      </c>
      <c r="AV5" s="132"/>
      <c r="AW5" s="132"/>
      <c r="AX5" s="132"/>
      <c r="AY5" s="132"/>
      <c r="AZ5" s="132"/>
      <c r="BA5" s="132"/>
      <c r="BB5" s="206"/>
      <c r="BC5" s="193" t="s">
        <v>175</v>
      </c>
    </row>
    <row r="6" spans="2:57" ht="15" thickBot="1" x14ac:dyDescent="0.35">
      <c r="B6" s="189"/>
      <c r="C6" s="109"/>
      <c r="D6" s="192"/>
      <c r="E6" s="139"/>
      <c r="F6" s="126"/>
      <c r="G6" s="138"/>
      <c r="H6" s="126"/>
      <c r="I6" s="129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4"/>
      <c r="AN6" s="135"/>
      <c r="AO6" s="135"/>
      <c r="AP6" s="135"/>
      <c r="AQ6" s="135"/>
      <c r="AR6" s="135"/>
      <c r="AS6" s="135"/>
      <c r="AT6" s="136"/>
      <c r="AU6" s="207"/>
      <c r="AV6" s="135"/>
      <c r="AW6" s="135"/>
      <c r="AX6" s="135"/>
      <c r="AY6" s="135"/>
      <c r="AZ6" s="135"/>
      <c r="BA6" s="135"/>
      <c r="BB6" s="208"/>
      <c r="BC6" s="194"/>
    </row>
    <row r="7" spans="2:57" ht="15" customHeight="1" x14ac:dyDescent="0.3">
      <c r="B7" s="189"/>
      <c r="C7" s="151" t="s">
        <v>35</v>
      </c>
      <c r="D7" s="153" t="s">
        <v>36</v>
      </c>
      <c r="E7" s="186" t="s">
        <v>37</v>
      </c>
      <c r="F7" s="186" t="s">
        <v>797</v>
      </c>
      <c r="G7" s="140" t="s">
        <v>67</v>
      </c>
      <c r="H7" s="144" t="s">
        <v>38</v>
      </c>
      <c r="I7" s="30" t="str">
        <f>VLOOKUP(WEEKDAY(I8,11),'Справочный лист'!$J$3:$K$9,2,FALSE)</f>
        <v>СР</v>
      </c>
      <c r="J7" s="30" t="str">
        <f>VLOOKUP(WEEKDAY(J8,11),'Справочный лист'!$J$3:$K$9,2,FALSE)</f>
        <v>ЧТ</v>
      </c>
      <c r="K7" s="30" t="str">
        <f>VLOOKUP(WEEKDAY(K8,11),'Справочный лист'!$J$3:$K$9,2,FALSE)</f>
        <v>ПТ</v>
      </c>
      <c r="L7" s="30" t="str">
        <f>VLOOKUP(WEEKDAY(L8,11),'Справочный лист'!$J$3:$K$9,2,FALSE)</f>
        <v>СБ</v>
      </c>
      <c r="M7" s="30" t="str">
        <f>VLOOKUP(WEEKDAY(M8,11),'Справочный лист'!$J$3:$K$9,2,FALSE)</f>
        <v>ВС</v>
      </c>
      <c r="N7" s="30" t="str">
        <f>VLOOKUP(WEEKDAY(N8,11),'Справочный лист'!$J$3:$K$9,2,FALSE)</f>
        <v>ПН</v>
      </c>
      <c r="O7" s="30" t="str">
        <f>VLOOKUP(WEEKDAY(O8,11),'Справочный лист'!$J$3:$K$9,2,FALSE)</f>
        <v>ВТ</v>
      </c>
      <c r="P7" s="30" t="str">
        <f>VLOOKUP(WEEKDAY(P8,11),'Справочный лист'!$J$3:$K$9,2,FALSE)</f>
        <v>СР</v>
      </c>
      <c r="Q7" s="30" t="str">
        <f>VLOOKUP(WEEKDAY(Q8,11),'Справочный лист'!$J$3:$K$9,2,FALSE)</f>
        <v>ЧТ</v>
      </c>
      <c r="R7" s="30" t="str">
        <f>VLOOKUP(WEEKDAY(R8,11),'Справочный лист'!$J$3:$K$9,2,FALSE)</f>
        <v>ПТ</v>
      </c>
      <c r="S7" s="30" t="str">
        <f>VLOOKUP(WEEKDAY(S8,11),'Справочный лист'!$J$3:$K$9,2,FALSE)</f>
        <v>СБ</v>
      </c>
      <c r="T7" s="30" t="str">
        <f>VLOOKUP(WEEKDAY(T8,11),'Справочный лист'!$J$3:$K$9,2,FALSE)</f>
        <v>ВС</v>
      </c>
      <c r="U7" s="93" t="str">
        <f>VLOOKUP(WEEKDAY(U8,11),'Справочный лист'!$J$3:$K$9,2,FALSE)</f>
        <v>ПН</v>
      </c>
      <c r="V7" s="30" t="str">
        <f>VLOOKUP(WEEKDAY(V8,11),'Справочный лист'!$J$3:$K$9,2,FALSE)</f>
        <v>ВТ</v>
      </c>
      <c r="W7" s="30" t="str">
        <f>VLOOKUP(WEEKDAY(W8,11),'Справочный лист'!$J$3:$K$9,2,FALSE)</f>
        <v>СР</v>
      </c>
      <c r="X7" s="30" t="str">
        <f>VLOOKUP(WEEKDAY(X8,11),'Справочный лист'!$J$3:$K$9,2,FALSE)</f>
        <v>ЧТ</v>
      </c>
      <c r="Y7" s="30" t="str">
        <f>VLOOKUP(WEEKDAY(Y8,11),'Справочный лист'!$J$3:$K$9,2,FALSE)</f>
        <v>ПТ</v>
      </c>
      <c r="Z7" s="30" t="str">
        <f>VLOOKUP(WEEKDAY(Z8,11),'Справочный лист'!$J$3:$K$9,2,FALSE)</f>
        <v>СБ</v>
      </c>
      <c r="AA7" s="30" t="str">
        <f>VLOOKUP(WEEKDAY(AA8,11),'Справочный лист'!$J$3:$K$9,2,FALSE)</f>
        <v>ВС</v>
      </c>
      <c r="AB7" s="30" t="str">
        <f>VLOOKUP(WEEKDAY(AB8,11),'Справочный лист'!$J$3:$K$9,2,FALSE)</f>
        <v>ПН</v>
      </c>
      <c r="AC7" s="93" t="str">
        <f>VLOOKUP(WEEKDAY(AC8,11),'Справочный лист'!$J$3:$K$9,2,FALSE)</f>
        <v>ВТ</v>
      </c>
      <c r="AD7" s="30" t="str">
        <f>VLOOKUP(WEEKDAY(AD8,11),'Справочный лист'!$J$3:$K$9,2,FALSE)</f>
        <v>СР</v>
      </c>
      <c r="AE7" s="104" t="str">
        <f>VLOOKUP(WEEKDAY(AE8,11),'Справочный лист'!$J$3:$K$9,2,FALSE)</f>
        <v>ЧТ</v>
      </c>
      <c r="AF7" s="30" t="str">
        <f>VLOOKUP(WEEKDAY(AF8,11),'Справочный лист'!$J$3:$K$9,2,FALSE)</f>
        <v>ПТ</v>
      </c>
      <c r="AG7" s="30" t="str">
        <f>VLOOKUP(WEEKDAY(AG8,11),'Справочный лист'!$J$3:$K$9,2,FALSE)</f>
        <v>СБ</v>
      </c>
      <c r="AH7" s="30" t="str">
        <f>VLOOKUP(WEEKDAY(AH8,11),'Справочный лист'!$J$3:$K$9,2,FALSE)</f>
        <v>ВС</v>
      </c>
      <c r="AI7" s="30" t="str">
        <f>VLOOKUP(WEEKDAY(AI8,11),'Справочный лист'!$J$3:$K$9,2,FALSE)</f>
        <v>ПН</v>
      </c>
      <c r="AJ7" s="30" t="str">
        <f>VLOOKUP(WEEKDAY(AJ8,11),'Справочный лист'!$J$3:$K$9,2,FALSE)</f>
        <v>ВТ</v>
      </c>
      <c r="AK7" s="30" t="str">
        <f>VLOOKUP(WEEKDAY(AK8,11),'Справочный лист'!$J$3:$K$9,2,FALSE)</f>
        <v>СР</v>
      </c>
      <c r="AL7" s="30" t="str">
        <f>VLOOKUP(WEEKDAY(AL8,11),'Справочный лист'!$J$3:$K$9,2,FALSE)</f>
        <v>ЧТ</v>
      </c>
      <c r="AM7" s="145" t="s">
        <v>43</v>
      </c>
      <c r="AN7" s="146"/>
      <c r="AO7" s="146"/>
      <c r="AP7" s="147"/>
      <c r="AQ7" s="142" t="s">
        <v>42</v>
      </c>
      <c r="AR7" s="142" t="s">
        <v>44</v>
      </c>
      <c r="AS7" s="142" t="s">
        <v>45</v>
      </c>
      <c r="AT7" s="154" t="s">
        <v>46</v>
      </c>
      <c r="AU7" s="145" t="s">
        <v>43</v>
      </c>
      <c r="AV7" s="146"/>
      <c r="AW7" s="146"/>
      <c r="AX7" s="147"/>
      <c r="AY7" s="142" t="s">
        <v>42</v>
      </c>
      <c r="AZ7" s="142" t="s">
        <v>44</v>
      </c>
      <c r="BA7" s="142" t="s">
        <v>45</v>
      </c>
      <c r="BB7" s="211" t="s">
        <v>46</v>
      </c>
      <c r="BC7" s="194"/>
    </row>
    <row r="8" spans="2:57" ht="15" thickBot="1" x14ac:dyDescent="0.35">
      <c r="B8" s="190"/>
      <c r="C8" s="152"/>
      <c r="D8" s="143"/>
      <c r="E8" s="187"/>
      <c r="F8" s="187"/>
      <c r="G8" s="141"/>
      <c r="H8" s="109"/>
      <c r="I8" s="28" t="str">
        <f>'Справочный лист'!M3&amp;"."&amp;VLOOKUP($D$5,'Справочный лист'!$M$6:$N$17,2,FALSE)&amp;"."&amp;'Справочный лист'!$M$4</f>
        <v>1.4.26</v>
      </c>
      <c r="J8" s="28" t="str">
        <f>'Справочный лист'!N3&amp;"."&amp;VLOOKUP($D$5,'Справочный лист'!$M$6:$N$17,2,FALSE)&amp;"."&amp;'Справочный лист'!$M$4</f>
        <v>2.4.26</v>
      </c>
      <c r="K8" s="28" t="str">
        <f>'Справочный лист'!O3&amp;"."&amp;VLOOKUP($D$5,'Справочный лист'!$M$6:$N$17,2,FALSE)&amp;"."&amp;'Справочный лист'!$M$4</f>
        <v>3.4.26</v>
      </c>
      <c r="L8" s="28" t="str">
        <f>'Справочный лист'!P3&amp;"."&amp;VLOOKUP($D$5,'Справочный лист'!$M$6:$N$17,2,FALSE)&amp;"."&amp;'Справочный лист'!$M$4</f>
        <v>4.4.26</v>
      </c>
      <c r="M8" s="28" t="str">
        <f>'Справочный лист'!Q3&amp;"."&amp;VLOOKUP($D$5,'Справочный лист'!$M$6:$N$17,2,FALSE)&amp;"."&amp;'Справочный лист'!$M$4</f>
        <v>5.4.26</v>
      </c>
      <c r="N8" s="28" t="str">
        <f>'Справочный лист'!R3&amp;"."&amp;VLOOKUP($D$5,'Справочный лист'!$M$6:$N$17,2,FALSE)&amp;"."&amp;'Справочный лист'!$M$4</f>
        <v>6.4.26</v>
      </c>
      <c r="O8" s="28" t="str">
        <f>'Справочный лист'!S3&amp;"."&amp;VLOOKUP($D$5,'Справочный лист'!$M$6:$N$17,2,FALSE)&amp;"."&amp;'Справочный лист'!$M$4</f>
        <v>7.4.26</v>
      </c>
      <c r="P8" s="28" t="str">
        <f>'Справочный лист'!T3&amp;"."&amp;VLOOKUP($D$5,'Справочный лист'!$M$6:$N$17,2,FALSE)&amp;"."&amp;'Справочный лист'!$M$4</f>
        <v>8.4.26</v>
      </c>
      <c r="Q8" s="28" t="str">
        <f>'Справочный лист'!U3&amp;"."&amp;VLOOKUP($D$5,'Справочный лист'!$M$6:$N$17,2,FALSE)&amp;"."&amp;'Справочный лист'!$M$4</f>
        <v>9.4.26</v>
      </c>
      <c r="R8" s="28" t="str">
        <f>'Справочный лист'!V3&amp;"."&amp;VLOOKUP($D$5,'Справочный лист'!$M$6:$N$17,2,FALSE)&amp;"."&amp;'Справочный лист'!$M$4</f>
        <v>10.4.26</v>
      </c>
      <c r="S8" s="28" t="str">
        <f>'Справочный лист'!W3&amp;"."&amp;VLOOKUP($D$5,'Справочный лист'!$M$6:$N$17,2,FALSE)&amp;"."&amp;'Справочный лист'!$M$4</f>
        <v>11.4.26</v>
      </c>
      <c r="T8" s="28" t="str">
        <f>'Справочный лист'!X3&amp;"."&amp;VLOOKUP($D$5,'Справочный лист'!$M$6:$N$17,2,FALSE)&amp;"."&amp;'Справочный лист'!$M$4</f>
        <v>12.4.26</v>
      </c>
      <c r="U8" s="94" t="str">
        <f>'Справочный лист'!Y3&amp;"."&amp;VLOOKUP($D$5,'Справочный лист'!$M$6:$N$17,2,FALSE)&amp;"."&amp;'Справочный лист'!$M$4</f>
        <v>13.4.26</v>
      </c>
      <c r="V8" s="28" t="str">
        <f>'Справочный лист'!Z3&amp;"."&amp;VLOOKUP($D$5,'Справочный лист'!$M$6:$N$17,2,FALSE)&amp;"."&amp;'Справочный лист'!$M$4</f>
        <v>14.4.26</v>
      </c>
      <c r="W8" s="28" t="str">
        <f>'Справочный лист'!AA3&amp;"."&amp;VLOOKUP($D$5,'Справочный лист'!$M$6:$N$17,2,FALSE)&amp;"."&amp;'Справочный лист'!$M$4</f>
        <v>15.4.26</v>
      </c>
      <c r="X8" s="28" t="str">
        <f>'Справочный лист'!AB3&amp;"."&amp;VLOOKUP($D$5,'Справочный лист'!$M$6:$N$17,2,FALSE)&amp;"."&amp;'Справочный лист'!$M$4</f>
        <v>16.4.26</v>
      </c>
      <c r="Y8" s="28" t="str">
        <f>'Справочный лист'!AC3&amp;"."&amp;VLOOKUP($D$5,'Справочный лист'!$M$6:$N$17,2,FALSE)&amp;"."&amp;'Справочный лист'!$M$4</f>
        <v>17.4.26</v>
      </c>
      <c r="Z8" s="28" t="str">
        <f>'Справочный лист'!AD3&amp;"."&amp;VLOOKUP($D$5,'Справочный лист'!$M$6:$N$17,2,FALSE)&amp;"."&amp;'Справочный лист'!$M$4</f>
        <v>18.4.26</v>
      </c>
      <c r="AA8" s="28" t="str">
        <f>'Справочный лист'!AE3&amp;"."&amp;VLOOKUP($D$5,'Справочный лист'!$M$6:$N$17,2,FALSE)&amp;"."&amp;'Справочный лист'!$M$4</f>
        <v>19.4.26</v>
      </c>
      <c r="AB8" s="28" t="str">
        <f>'Справочный лист'!AF3&amp;"."&amp;VLOOKUP($D$5,'Справочный лист'!$M$6:$N$17,2,FALSE)&amp;"."&amp;'Справочный лист'!$M$4</f>
        <v>20.4.26</v>
      </c>
      <c r="AC8" s="94" t="str">
        <f>'Справочный лист'!AG3&amp;"."&amp;VLOOKUP($D$5,'Справочный лист'!$M$6:$N$17,2,FALSE)&amp;"."&amp;'Справочный лист'!$M$4</f>
        <v>21.4.26</v>
      </c>
      <c r="AD8" s="28" t="str">
        <f>'Справочный лист'!AH3&amp;"."&amp;VLOOKUP($D$5,'Справочный лист'!$M$6:$N$17,2,FALSE)&amp;"."&amp;'Справочный лист'!$M$4</f>
        <v>22.4.26</v>
      </c>
      <c r="AE8" s="105" t="str">
        <f>'Справочный лист'!AI3&amp;"."&amp;VLOOKUP($D$5,'Справочный лист'!$M$6:$N$17,2,FALSE)&amp;"."&amp;'Справочный лист'!$M$4</f>
        <v>23.4.26</v>
      </c>
      <c r="AF8" s="28" t="str">
        <f>'Справочный лист'!AJ3&amp;"."&amp;VLOOKUP($D$5,'Справочный лист'!$M$6:$N$17,2,FALSE)&amp;"."&amp;'Справочный лист'!$M$4</f>
        <v>24.4.26</v>
      </c>
      <c r="AG8" s="28" t="str">
        <f>'Справочный лист'!AK3&amp;"."&amp;VLOOKUP($D$5,'Справочный лист'!$M$6:$N$17,2,FALSE)&amp;"."&amp;'Справочный лист'!$M$4</f>
        <v>25.4.26</v>
      </c>
      <c r="AH8" s="28" t="str">
        <f>'Справочный лист'!AL3&amp;"."&amp;VLOOKUP($D$5,'Справочный лист'!$M$6:$N$17,2,FALSE)&amp;"."&amp;'Справочный лист'!$M$4</f>
        <v>26.4.26</v>
      </c>
      <c r="AI8" s="28" t="str">
        <f>'Справочный лист'!AM3&amp;"."&amp;VLOOKUP($D$5,'Справочный лист'!$M$6:$N$17,2,FALSE)&amp;"."&amp;'Справочный лист'!$M$4</f>
        <v>27.4.26</v>
      </c>
      <c r="AJ8" s="28" t="str">
        <f>'Справочный лист'!AN3&amp;"."&amp;VLOOKUP($D$5,'Справочный лист'!$M$6:$N$17,2,FALSE)&amp;"."&amp;'Справочный лист'!$M$4</f>
        <v>28.4.26</v>
      </c>
      <c r="AK8" s="28" t="str">
        <f>'Справочный лист'!AO3&amp;"."&amp;VLOOKUP($D$5,'Справочный лист'!$M$6:$N$17,2,FALSE)&amp;"."&amp;'Справочный лист'!$M$4</f>
        <v>29.4.26</v>
      </c>
      <c r="AL8" s="28" t="str">
        <f>'Справочный лист'!AP3&amp;"."&amp;VLOOKUP($D$5,'Справочный лист'!$M$6:$N$17,2,FALSE)&amp;"."&amp;'Справочный лист'!$M$4</f>
        <v>30.4.26</v>
      </c>
      <c r="AM8" s="31" t="s">
        <v>40</v>
      </c>
      <c r="AN8" s="29" t="s">
        <v>41</v>
      </c>
      <c r="AO8" s="29" t="s">
        <v>214</v>
      </c>
      <c r="AP8" s="29" t="s">
        <v>63</v>
      </c>
      <c r="AQ8" s="143"/>
      <c r="AR8" s="143"/>
      <c r="AS8" s="143"/>
      <c r="AT8" s="126"/>
      <c r="AU8" s="31" t="s">
        <v>40</v>
      </c>
      <c r="AV8" s="99" t="s">
        <v>41</v>
      </c>
      <c r="AW8" s="29" t="s">
        <v>214</v>
      </c>
      <c r="AX8" s="29" t="s">
        <v>63</v>
      </c>
      <c r="AY8" s="143"/>
      <c r="AZ8" s="143"/>
      <c r="BA8" s="143"/>
      <c r="BB8" s="212"/>
      <c r="BC8" s="195"/>
    </row>
    <row r="9" spans="2:57" x14ac:dyDescent="0.3">
      <c r="B9" s="182">
        <v>1</v>
      </c>
      <c r="C9" s="173" t="str">
        <f>[1]ШР!P8</f>
        <v>Эскеров Аднан Эскерович</v>
      </c>
      <c r="D9" s="184" t="s">
        <v>362</v>
      </c>
      <c r="E9" s="162" t="s">
        <v>1077</v>
      </c>
      <c r="F9" s="162" t="str">
        <f>IFERROR(INDEX([1]ШР!M:M,MATCH('[1]Шаблон Табеля'!C9:C10,[1]ШР!P:P,0)),"")</f>
        <v>Отдел Единой государственной автоматизированной информационной системы</v>
      </c>
      <c r="G9" s="166" t="s">
        <v>142</v>
      </c>
      <c r="H9" s="32" t="s">
        <v>38</v>
      </c>
      <c r="I9" s="73" t="s">
        <v>8</v>
      </c>
      <c r="J9" s="91" t="s">
        <v>8</v>
      </c>
      <c r="K9" s="91" t="s">
        <v>8</v>
      </c>
      <c r="L9" s="91"/>
      <c r="M9" s="91"/>
      <c r="N9" s="91" t="s">
        <v>8</v>
      </c>
      <c r="O9" s="91" t="s">
        <v>8</v>
      </c>
      <c r="P9" s="91" t="s">
        <v>8</v>
      </c>
      <c r="Q9" s="91" t="s">
        <v>8</v>
      </c>
      <c r="R9" s="91" t="s">
        <v>8</v>
      </c>
      <c r="S9" s="91"/>
      <c r="T9" s="91"/>
      <c r="U9" s="95"/>
      <c r="V9" s="91" t="s">
        <v>8</v>
      </c>
      <c r="W9" s="91" t="s">
        <v>8</v>
      </c>
      <c r="X9" s="91"/>
      <c r="Y9" s="91"/>
      <c r="Z9" s="91"/>
      <c r="AA9" s="91"/>
      <c r="AB9" s="91"/>
      <c r="AC9" s="95"/>
      <c r="AD9" s="91"/>
      <c r="AE9" s="101"/>
      <c r="AF9" s="91"/>
      <c r="AG9" s="91"/>
      <c r="AH9" s="91"/>
      <c r="AI9" s="91"/>
      <c r="AJ9" s="91"/>
      <c r="AK9" s="91"/>
      <c r="AL9" s="91"/>
      <c r="AM9" s="165">
        <f>IF(C9="","",COUNTIF(I9:W9,"Я")+COUNTIF(I9:W9,"Н")+COUNTIF(I9:W9,"Д")+COUNTIF(I9:W9,"РВ"))</f>
        <v>10</v>
      </c>
      <c r="AN9" s="169">
        <f>IF(C9="","",SUM(I10:W10))</f>
        <v>80</v>
      </c>
      <c r="AO9" s="122">
        <f>SUM(I10:W10)</f>
        <v>80</v>
      </c>
      <c r="AP9" s="148">
        <f>SUM(I11:W11)</f>
        <v>0</v>
      </c>
      <c r="AQ9" s="110">
        <v>80</v>
      </c>
      <c r="AR9" s="113">
        <f>IF(G9="Женский",'ПК 2 Дагестан'!$G$22/2,'ПК 2 Дагестан'!$F$22/2)</f>
        <v>80.333333333333329</v>
      </c>
      <c r="AS9" s="116">
        <f>IFERROR(IF(C9="","",AN9-AQ9),"")</f>
        <v>0</v>
      </c>
      <c r="AT9" s="119">
        <f>IF(C9="","",AN9-AR9)</f>
        <v>-0.3333333333333286</v>
      </c>
      <c r="AU9" s="169">
        <f>IF(C9="","",COUNTIF(I9:AL9,"Я")+COUNTIF(I9:AL9,"Н")+COUNTIF(I9:AL9,"Д")+COUNTIF(I9:AL9,"РВ"))</f>
        <v>10</v>
      </c>
      <c r="AV9" s="149">
        <f>SUM(I10:AL11)</f>
        <v>80</v>
      </c>
      <c r="AW9" s="122">
        <f>SUM(I10:AL10)</f>
        <v>80</v>
      </c>
      <c r="AX9" s="148">
        <f>SUM(I11:AL11)</f>
        <v>0</v>
      </c>
      <c r="AY9" s="110">
        <v>159</v>
      </c>
      <c r="AZ9" s="113">
        <f>IF(G9="Женский",'ПК 2 Дагестан'!$G$22,'ПК 2 Дагестан'!$F$22)</f>
        <v>160.66666666666666</v>
      </c>
      <c r="BA9" s="199">
        <f>IFERROR(IF(C9="","",AV9-AY9),"")</f>
        <v>-79</v>
      </c>
      <c r="BB9" s="209">
        <f>IF(C9="","",AV9-AZ9)</f>
        <v>-80.666666666666657</v>
      </c>
      <c r="BC9" s="196"/>
      <c r="BD9" s="107"/>
      <c r="BE9" s="107"/>
    </row>
    <row r="10" spans="2:57" x14ac:dyDescent="0.3">
      <c r="B10" s="171"/>
      <c r="C10" s="174"/>
      <c r="D10" s="162"/>
      <c r="E10" s="162"/>
      <c r="F10" s="162"/>
      <c r="G10" s="167"/>
      <c r="H10" s="33" t="s">
        <v>48</v>
      </c>
      <c r="I10" s="100">
        <v>8</v>
      </c>
      <c r="J10" s="92">
        <v>8</v>
      </c>
      <c r="K10" s="92">
        <v>8</v>
      </c>
      <c r="L10" s="92"/>
      <c r="M10" s="92"/>
      <c r="N10" s="92">
        <v>8</v>
      </c>
      <c r="O10" s="92">
        <v>8</v>
      </c>
      <c r="P10" s="92">
        <v>8</v>
      </c>
      <c r="Q10" s="92">
        <v>8</v>
      </c>
      <c r="R10" s="92">
        <v>8</v>
      </c>
      <c r="S10" s="92"/>
      <c r="T10" s="92"/>
      <c r="U10" s="96"/>
      <c r="V10" s="92">
        <v>8</v>
      </c>
      <c r="W10" s="92">
        <v>8</v>
      </c>
      <c r="X10" s="92"/>
      <c r="Y10" s="92"/>
      <c r="Z10" s="92"/>
      <c r="AA10" s="92"/>
      <c r="AB10" s="92"/>
      <c r="AC10" s="96"/>
      <c r="AD10" s="92"/>
      <c r="AE10" s="102"/>
      <c r="AF10" s="92"/>
      <c r="AG10" s="92"/>
      <c r="AH10" s="92"/>
      <c r="AI10" s="92"/>
      <c r="AJ10" s="92"/>
      <c r="AK10" s="92"/>
      <c r="AL10" s="92"/>
      <c r="AM10" s="156"/>
      <c r="AN10" s="149"/>
      <c r="AO10" s="123"/>
      <c r="AP10" s="149"/>
      <c r="AQ10" s="111"/>
      <c r="AR10" s="114"/>
      <c r="AS10" s="117"/>
      <c r="AT10" s="120"/>
      <c r="AU10" s="149"/>
      <c r="AV10" s="149"/>
      <c r="AW10" s="123"/>
      <c r="AX10" s="149"/>
      <c r="AY10" s="111"/>
      <c r="AZ10" s="114"/>
      <c r="BA10" s="200"/>
      <c r="BB10" s="203"/>
      <c r="BC10" s="197"/>
      <c r="BD10" s="107"/>
      <c r="BE10" s="107"/>
    </row>
    <row r="11" spans="2:57" ht="15" thickBot="1" x14ac:dyDescent="0.35">
      <c r="B11" s="183"/>
      <c r="C11" s="175"/>
      <c r="D11" s="185"/>
      <c r="E11" s="162"/>
      <c r="F11" s="162"/>
      <c r="G11" s="168"/>
      <c r="H11" s="34" t="s">
        <v>63</v>
      </c>
      <c r="I11" s="282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7"/>
      <c r="V11" s="90"/>
      <c r="W11" s="90"/>
      <c r="X11" s="90"/>
      <c r="Y11" s="90"/>
      <c r="Z11" s="90"/>
      <c r="AA11" s="90"/>
      <c r="AB11" s="90"/>
      <c r="AC11" s="97"/>
      <c r="AD11" s="90"/>
      <c r="AE11" s="103"/>
      <c r="AF11" s="90"/>
      <c r="AG11" s="90"/>
      <c r="AH11" s="90"/>
      <c r="AI11" s="90"/>
      <c r="AJ11" s="90"/>
      <c r="AK11" s="90"/>
      <c r="AL11" s="90"/>
      <c r="AM11" s="180"/>
      <c r="AN11" s="181"/>
      <c r="AO11" s="124"/>
      <c r="AP11" s="150"/>
      <c r="AQ11" s="112"/>
      <c r="AR11" s="115"/>
      <c r="AS11" s="118"/>
      <c r="AT11" s="121"/>
      <c r="AU11" s="181"/>
      <c r="AV11" s="149"/>
      <c r="AW11" s="124"/>
      <c r="AX11" s="150"/>
      <c r="AY11" s="112"/>
      <c r="AZ11" s="115"/>
      <c r="BA11" s="201"/>
      <c r="BB11" s="210"/>
      <c r="BC11" s="198"/>
      <c r="BD11" s="107"/>
      <c r="BE11" s="107"/>
    </row>
    <row r="12" spans="2:57" ht="15" customHeight="1" x14ac:dyDescent="0.3">
      <c r="B12" s="170">
        <v>2</v>
      </c>
      <c r="C12" s="173" t="str">
        <f>[1]ШР!P9</f>
        <v>Гасанов Камиль Мурадович</v>
      </c>
      <c r="D12" s="176" t="s">
        <v>364</v>
      </c>
      <c r="E12" s="162" t="s">
        <v>1078</v>
      </c>
      <c r="F12" s="162" t="str">
        <f>IFERROR(INDEX([1]ШР!M:M,MATCH('[1]Шаблон Табеля'!C12:C13,[1]ШР!P:P,0)),"")</f>
        <v>Отдел Единой государственной автоматизированной информационной системы</v>
      </c>
      <c r="G12" s="166" t="s">
        <v>142</v>
      </c>
      <c r="H12" s="32" t="s">
        <v>38</v>
      </c>
      <c r="I12" s="73" t="s">
        <v>8</v>
      </c>
      <c r="J12" s="91" t="s">
        <v>8</v>
      </c>
      <c r="K12" s="91"/>
      <c r="L12" s="91" t="s">
        <v>8</v>
      </c>
      <c r="M12" s="91"/>
      <c r="N12" s="91"/>
      <c r="O12" s="91" t="s">
        <v>8</v>
      </c>
      <c r="P12" s="91" t="s">
        <v>8</v>
      </c>
      <c r="Q12" s="91" t="s">
        <v>8</v>
      </c>
      <c r="R12" s="91" t="s">
        <v>8</v>
      </c>
      <c r="S12" s="91" t="s">
        <v>8</v>
      </c>
      <c r="T12" s="91" t="s">
        <v>8</v>
      </c>
      <c r="U12" s="95"/>
      <c r="V12" s="91" t="s">
        <v>8</v>
      </c>
      <c r="W12" s="91" t="s">
        <v>8</v>
      </c>
      <c r="X12" s="91"/>
      <c r="Y12" s="91"/>
      <c r="Z12" s="91"/>
      <c r="AA12" s="91"/>
      <c r="AB12" s="91"/>
      <c r="AC12" s="95"/>
      <c r="AD12" s="91"/>
      <c r="AE12" s="101"/>
      <c r="AF12" s="91"/>
      <c r="AG12" s="91"/>
      <c r="AH12" s="91"/>
      <c r="AI12" s="91"/>
      <c r="AJ12" s="91"/>
      <c r="AK12" s="91"/>
      <c r="AL12" s="91"/>
      <c r="AM12" s="155">
        <f>IF(C12="","",COUNTIF(I12:W12,"Я")+COUNTIF(I12:W12,"Н")+COUNTIF(I12:W12,"Д")+COUNTIF(I12:W12,"РВ"))</f>
        <v>11</v>
      </c>
      <c r="AN12" s="148">
        <f>SUM(I13:W14)</f>
        <v>78</v>
      </c>
      <c r="AO12" s="122">
        <f t="shared" ref="AO12" si="0">SUM(I13:W13)</f>
        <v>55</v>
      </c>
      <c r="AP12" s="148">
        <f t="shared" ref="AP12" si="1">SUM(I14:W14)</f>
        <v>23</v>
      </c>
      <c r="AQ12" s="110">
        <v>80</v>
      </c>
      <c r="AR12" s="113">
        <f>IF(G12="Женский",'ПК 2 Дагестан'!$G$22/2,'ПК 2 Дагестан'!$F$22/2)</f>
        <v>80.333333333333329</v>
      </c>
      <c r="AS12" s="158">
        <f>IFERROR(IF(C12="","",AN12-AQ12),"")</f>
        <v>-2</v>
      </c>
      <c r="AT12" s="160">
        <f>IF(C12="","",AN12-AR12)</f>
        <v>-2.3333333333333286</v>
      </c>
      <c r="AU12" s="148">
        <f>IF(C12="","",COUNTIF(I12:AL12,"Я")+COUNTIF(I12:AL12,"Н")+COUNTIF(I12:AL12,"Д")+COUNTIF(I12:AL12,"РВ"))</f>
        <v>11</v>
      </c>
      <c r="AV12" s="149">
        <f t="shared" ref="AV12" si="2">SUM(I13:AL14)</f>
        <v>78</v>
      </c>
      <c r="AW12" s="122">
        <f t="shared" ref="AW12" si="3">SUM(I13:AL13)</f>
        <v>55</v>
      </c>
      <c r="AX12" s="148">
        <f t="shared" ref="AX12" si="4">SUM(I14:AL14)</f>
        <v>23</v>
      </c>
      <c r="AY12" s="110">
        <v>159</v>
      </c>
      <c r="AZ12" s="113">
        <f>IF(G12="Женский",'ПК 2 Дагестан'!$G$22,'ПК 2 Дагестан'!$F$22)</f>
        <v>160.66666666666666</v>
      </c>
      <c r="BA12" s="158">
        <f>IFERROR(IF(C12="","",AV12-AY12),"")</f>
        <v>-81</v>
      </c>
      <c r="BB12" s="202">
        <f>IF(C12="","",AV12-AZ12)</f>
        <v>-82.666666666666657</v>
      </c>
      <c r="BC12" s="196"/>
      <c r="BD12" s="107"/>
      <c r="BE12" s="107"/>
    </row>
    <row r="13" spans="2:57" x14ac:dyDescent="0.3">
      <c r="B13" s="171"/>
      <c r="C13" s="174"/>
      <c r="D13" s="162"/>
      <c r="E13" s="162"/>
      <c r="F13" s="162"/>
      <c r="G13" s="167"/>
      <c r="H13" s="33" t="s">
        <v>48</v>
      </c>
      <c r="I13" s="100">
        <v>2</v>
      </c>
      <c r="J13" s="92">
        <v>2</v>
      </c>
      <c r="K13" s="92"/>
      <c r="L13" s="92">
        <v>11</v>
      </c>
      <c r="M13" s="92"/>
      <c r="N13" s="92"/>
      <c r="O13" s="92">
        <v>8</v>
      </c>
      <c r="P13" s="92">
        <v>2</v>
      </c>
      <c r="Q13" s="92">
        <v>2</v>
      </c>
      <c r="R13" s="92">
        <v>11</v>
      </c>
      <c r="S13" s="92">
        <v>2</v>
      </c>
      <c r="T13" s="92">
        <v>2</v>
      </c>
      <c r="U13" s="96"/>
      <c r="V13" s="92">
        <v>11</v>
      </c>
      <c r="W13" s="92">
        <v>2</v>
      </c>
      <c r="X13" s="92"/>
      <c r="Y13" s="92"/>
      <c r="Z13" s="92"/>
      <c r="AA13" s="92"/>
      <c r="AB13" s="92"/>
      <c r="AC13" s="96"/>
      <c r="AD13" s="92"/>
      <c r="AE13" s="102"/>
      <c r="AF13" s="92"/>
      <c r="AG13" s="92"/>
      <c r="AH13" s="92"/>
      <c r="AI13" s="92"/>
      <c r="AJ13" s="92"/>
      <c r="AK13" s="92"/>
      <c r="AL13" s="92"/>
      <c r="AM13" s="156"/>
      <c r="AN13" s="149"/>
      <c r="AO13" s="123"/>
      <c r="AP13" s="149"/>
      <c r="AQ13" s="111"/>
      <c r="AR13" s="114"/>
      <c r="AS13" s="117"/>
      <c r="AT13" s="120"/>
      <c r="AU13" s="149"/>
      <c r="AV13" s="149"/>
      <c r="AW13" s="123"/>
      <c r="AX13" s="149"/>
      <c r="AY13" s="111"/>
      <c r="AZ13" s="114"/>
      <c r="BA13" s="117"/>
      <c r="BB13" s="203"/>
      <c r="BC13" s="197"/>
      <c r="BD13" s="107"/>
      <c r="BE13" s="107"/>
    </row>
    <row r="14" spans="2:57" ht="15" thickBot="1" x14ac:dyDescent="0.35">
      <c r="B14" s="172"/>
      <c r="C14" s="175"/>
      <c r="D14" s="177"/>
      <c r="E14" s="162"/>
      <c r="F14" s="162"/>
      <c r="G14" s="168"/>
      <c r="H14" s="34" t="s">
        <v>63</v>
      </c>
      <c r="I14" s="106">
        <v>2</v>
      </c>
      <c r="J14" s="90">
        <v>5</v>
      </c>
      <c r="K14" s="90"/>
      <c r="L14" s="90"/>
      <c r="M14" s="90"/>
      <c r="N14" s="90"/>
      <c r="O14" s="90"/>
      <c r="P14" s="90">
        <v>2</v>
      </c>
      <c r="Q14" s="90">
        <v>5</v>
      </c>
      <c r="R14" s="90"/>
      <c r="S14" s="90">
        <v>2</v>
      </c>
      <c r="T14" s="90">
        <v>5</v>
      </c>
      <c r="U14" s="97"/>
      <c r="V14" s="90"/>
      <c r="W14" s="90">
        <v>2</v>
      </c>
      <c r="X14" s="90"/>
      <c r="Y14" s="90"/>
      <c r="Z14" s="90"/>
      <c r="AA14" s="90"/>
      <c r="AB14" s="90"/>
      <c r="AC14" s="97"/>
      <c r="AD14" s="90"/>
      <c r="AE14" s="103"/>
      <c r="AF14" s="90"/>
      <c r="AG14" s="90"/>
      <c r="AH14" s="90"/>
      <c r="AI14" s="90"/>
      <c r="AJ14" s="90"/>
      <c r="AK14" s="90"/>
      <c r="AL14" s="90"/>
      <c r="AM14" s="157"/>
      <c r="AN14" s="150"/>
      <c r="AO14" s="124"/>
      <c r="AP14" s="150"/>
      <c r="AQ14" s="112"/>
      <c r="AR14" s="115"/>
      <c r="AS14" s="159"/>
      <c r="AT14" s="161"/>
      <c r="AU14" s="150"/>
      <c r="AV14" s="149"/>
      <c r="AW14" s="124"/>
      <c r="AX14" s="150"/>
      <c r="AY14" s="112"/>
      <c r="AZ14" s="115"/>
      <c r="BA14" s="159"/>
      <c r="BB14" s="204"/>
      <c r="BC14" s="198"/>
      <c r="BD14" s="107"/>
      <c r="BE14" s="107"/>
    </row>
    <row r="15" spans="2:57" ht="15" customHeight="1" x14ac:dyDescent="0.3">
      <c r="B15" s="182">
        <v>3</v>
      </c>
      <c r="C15" s="173" t="str">
        <f>[1]ШР!P10</f>
        <v>Герейханов Пирбала Тофикович</v>
      </c>
      <c r="D15" s="176" t="s">
        <v>366</v>
      </c>
      <c r="E15" s="162" t="s">
        <v>1078</v>
      </c>
      <c r="F15" s="162" t="str">
        <f>IFERROR(INDEX([1]ШР!M:M,MATCH('[1]Шаблон Табеля'!C15:C16,[1]ШР!P:P,0)),"")</f>
        <v>Отдел Единой государственной автоматизированной информационной системы</v>
      </c>
      <c r="G15" s="163" t="s">
        <v>142</v>
      </c>
      <c r="H15" s="32" t="s">
        <v>38</v>
      </c>
      <c r="I15" s="98" t="s">
        <v>10</v>
      </c>
      <c r="J15" s="91" t="s">
        <v>10</v>
      </c>
      <c r="K15" s="91" t="s">
        <v>10</v>
      </c>
      <c r="L15" s="91"/>
      <c r="M15" s="91"/>
      <c r="N15" s="91" t="s">
        <v>10</v>
      </c>
      <c r="O15" s="91" t="s">
        <v>10</v>
      </c>
      <c r="P15" s="91" t="s">
        <v>10</v>
      </c>
      <c r="Q15" s="91" t="s">
        <v>10</v>
      </c>
      <c r="R15" s="91" t="s">
        <v>10</v>
      </c>
      <c r="S15" s="91"/>
      <c r="T15" s="91"/>
      <c r="U15" s="95"/>
      <c r="V15" s="91" t="s">
        <v>10</v>
      </c>
      <c r="W15" s="91" t="s">
        <v>8</v>
      </c>
      <c r="X15" s="91"/>
      <c r="Y15" s="91"/>
      <c r="Z15" s="91"/>
      <c r="AA15" s="91"/>
      <c r="AB15" s="91"/>
      <c r="AC15" s="95"/>
      <c r="AD15" s="91"/>
      <c r="AE15" s="101"/>
      <c r="AF15" s="91"/>
      <c r="AG15" s="91"/>
      <c r="AH15" s="91"/>
      <c r="AI15" s="91"/>
      <c r="AJ15" s="91"/>
      <c r="AK15" s="91"/>
      <c r="AL15" s="91"/>
      <c r="AM15" s="165">
        <f>IF(C15="","",COUNTIF(I15:W15,"Я")+COUNTIF(I15:W15,"Н")+COUNTIF(I15:W15,"Д")+COUNTIF(I15:W15,"РВ"))</f>
        <v>1</v>
      </c>
      <c r="AN15" s="148">
        <f t="shared" ref="AN15" si="5">SUM(I16:W17)</f>
        <v>11</v>
      </c>
      <c r="AO15" s="122">
        <f t="shared" ref="AO15" si="6">SUM(I16:W16)</f>
        <v>11</v>
      </c>
      <c r="AP15" s="148">
        <f t="shared" ref="AP15" si="7">SUM(I17:W17)</f>
        <v>0</v>
      </c>
      <c r="AQ15" s="110">
        <v>80</v>
      </c>
      <c r="AR15" s="113">
        <f>IF(G15="Женский",'ПК 2 Дагестан'!$G$22/2,'ПК 2 Дагестан'!$F$22/2)</f>
        <v>80.333333333333329</v>
      </c>
      <c r="AS15" s="116">
        <f>IFERROR(IF(C15="","",AN15-AQ15),"")</f>
        <v>-69</v>
      </c>
      <c r="AT15" s="119">
        <f>IF(C15="","",AN15-AR15)</f>
        <v>-69.333333333333329</v>
      </c>
      <c r="AU15" s="169">
        <f>IF(C15="","",COUNTIF(I15:AL15,"Я")+COUNTIF(I15:AL15,"Н")+COUNTIF(I15:AL15,"Д")+COUNTIF(I15:AL15,"РВ"))</f>
        <v>1</v>
      </c>
      <c r="AV15" s="149">
        <f t="shared" ref="AV15" si="8">SUM(I16:AL17)</f>
        <v>11</v>
      </c>
      <c r="AW15" s="122">
        <f t="shared" ref="AW15" si="9">SUM(I16:AL16)</f>
        <v>11</v>
      </c>
      <c r="AX15" s="148">
        <f t="shared" ref="AX15" si="10">SUM(I17:AL17)</f>
        <v>0</v>
      </c>
      <c r="AY15" s="110">
        <v>159</v>
      </c>
      <c r="AZ15" s="113">
        <f>IF(G15="Женский",'ПК 2 Дагестан'!$G$22,'ПК 2 Дагестан'!$F$22)</f>
        <v>160.66666666666666</v>
      </c>
      <c r="BA15" s="116">
        <f>IFERROR(IF(C15="","",AV15-AY15),"")</f>
        <v>-148</v>
      </c>
      <c r="BB15" s="209">
        <f>IF(C15="","",AV15-AZ15)</f>
        <v>-149.66666666666666</v>
      </c>
      <c r="BC15" s="196"/>
      <c r="BD15" s="107"/>
      <c r="BE15" s="107"/>
    </row>
    <row r="16" spans="2:57" x14ac:dyDescent="0.3">
      <c r="B16" s="171"/>
      <c r="C16" s="174"/>
      <c r="D16" s="162"/>
      <c r="E16" s="162"/>
      <c r="F16" s="162"/>
      <c r="G16" s="164"/>
      <c r="H16" s="33" t="s">
        <v>48</v>
      </c>
      <c r="I16" s="283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6"/>
      <c r="V16" s="92"/>
      <c r="W16" s="92">
        <v>11</v>
      </c>
      <c r="X16" s="92"/>
      <c r="Y16" s="92"/>
      <c r="Z16" s="92"/>
      <c r="AA16" s="92"/>
      <c r="AB16" s="92"/>
      <c r="AC16" s="96"/>
      <c r="AD16" s="92"/>
      <c r="AE16" s="102"/>
      <c r="AF16" s="92"/>
      <c r="AG16" s="92"/>
      <c r="AH16" s="92"/>
      <c r="AI16" s="92"/>
      <c r="AJ16" s="92"/>
      <c r="AK16" s="92"/>
      <c r="AL16" s="92"/>
      <c r="AM16" s="156"/>
      <c r="AN16" s="149"/>
      <c r="AO16" s="123"/>
      <c r="AP16" s="149"/>
      <c r="AQ16" s="111"/>
      <c r="AR16" s="114"/>
      <c r="AS16" s="117"/>
      <c r="AT16" s="120"/>
      <c r="AU16" s="149"/>
      <c r="AV16" s="149"/>
      <c r="AW16" s="123"/>
      <c r="AX16" s="149"/>
      <c r="AY16" s="111"/>
      <c r="AZ16" s="114"/>
      <c r="BA16" s="117"/>
      <c r="BB16" s="203"/>
      <c r="BC16" s="197"/>
      <c r="BD16" s="107"/>
      <c r="BE16" s="107"/>
    </row>
    <row r="17" spans="2:57" ht="15" thickBot="1" x14ac:dyDescent="0.35">
      <c r="B17" s="171"/>
      <c r="C17" s="175"/>
      <c r="D17" s="177"/>
      <c r="E17" s="162"/>
      <c r="F17" s="162"/>
      <c r="G17" s="164"/>
      <c r="H17" s="33" t="s">
        <v>63</v>
      </c>
      <c r="I17" s="282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7"/>
      <c r="V17" s="90"/>
      <c r="W17" s="90"/>
      <c r="X17" s="90"/>
      <c r="Y17" s="90"/>
      <c r="Z17" s="90"/>
      <c r="AA17" s="90"/>
      <c r="AB17" s="90"/>
      <c r="AC17" s="97"/>
      <c r="AD17" s="90"/>
      <c r="AE17" s="103"/>
      <c r="AF17" s="90"/>
      <c r="AG17" s="90"/>
      <c r="AH17" s="90"/>
      <c r="AI17" s="90"/>
      <c r="AJ17" s="90"/>
      <c r="AK17" s="90"/>
      <c r="AL17" s="90"/>
      <c r="AM17" s="156"/>
      <c r="AN17" s="150"/>
      <c r="AO17" s="124"/>
      <c r="AP17" s="150"/>
      <c r="AQ17" s="112"/>
      <c r="AR17" s="115"/>
      <c r="AS17" s="117"/>
      <c r="AT17" s="120"/>
      <c r="AU17" s="149"/>
      <c r="AV17" s="149"/>
      <c r="AW17" s="124"/>
      <c r="AX17" s="150"/>
      <c r="AY17" s="112"/>
      <c r="AZ17" s="115"/>
      <c r="BA17" s="117"/>
      <c r="BB17" s="203"/>
      <c r="BC17" s="198"/>
      <c r="BD17" s="107"/>
      <c r="BE17" s="107"/>
    </row>
    <row r="18" spans="2:57" ht="15" customHeight="1" x14ac:dyDescent="0.3">
      <c r="B18" s="170">
        <v>4</v>
      </c>
      <c r="C18" s="173" t="str">
        <f>[1]ШР!P11</f>
        <v>Гусейнов Вели Гусеевич</v>
      </c>
      <c r="D18" s="176" t="s">
        <v>1080</v>
      </c>
      <c r="E18" s="162" t="s">
        <v>1078</v>
      </c>
      <c r="F18" s="162" t="str">
        <f>IFERROR(INDEX([1]ШР!M:M,MATCH('[1]Шаблон Табеля'!C18:C19,[1]ШР!P:P,0)),"")</f>
        <v>Отдел Единой государственной автоматизированной информационной системы</v>
      </c>
      <c r="G18" s="178" t="s">
        <v>142</v>
      </c>
      <c r="H18" s="35" t="s">
        <v>38</v>
      </c>
      <c r="I18" s="285"/>
      <c r="J18" s="91" t="s">
        <v>8</v>
      </c>
      <c r="K18" s="91" t="s">
        <v>8</v>
      </c>
      <c r="L18" s="91" t="s">
        <v>8</v>
      </c>
      <c r="M18" s="91" t="s">
        <v>8</v>
      </c>
      <c r="N18" s="91"/>
      <c r="O18" s="91" t="s">
        <v>8</v>
      </c>
      <c r="P18" s="91" t="s">
        <v>8</v>
      </c>
      <c r="Q18" s="91" t="s">
        <v>8</v>
      </c>
      <c r="R18" s="91" t="s">
        <v>8</v>
      </c>
      <c r="S18" s="91"/>
      <c r="T18" s="91"/>
      <c r="U18" s="95"/>
      <c r="V18" s="91" t="s">
        <v>8</v>
      </c>
      <c r="W18" s="91" t="s">
        <v>8</v>
      </c>
      <c r="X18" s="91"/>
      <c r="Y18" s="91"/>
      <c r="Z18" s="91"/>
      <c r="AA18" s="91"/>
      <c r="AB18" s="91"/>
      <c r="AC18" s="95"/>
      <c r="AD18" s="91"/>
      <c r="AE18" s="101"/>
      <c r="AF18" s="91"/>
      <c r="AG18" s="91"/>
      <c r="AH18" s="91"/>
      <c r="AI18" s="91"/>
      <c r="AJ18" s="91"/>
      <c r="AK18" s="91"/>
      <c r="AL18" s="91"/>
      <c r="AM18" s="155">
        <f>IF(C18="","",COUNTIF(I18:W18,"Я")+COUNTIF(I18:W18,"Н")+COUNTIF(I18:W18,"Д")+COUNTIF(I18:W18,"РВ"))</f>
        <v>10</v>
      </c>
      <c r="AN18" s="148">
        <f t="shared" ref="AN18" si="11">SUM(I19:W20)</f>
        <v>82</v>
      </c>
      <c r="AO18" s="122">
        <f t="shared" ref="AO18" si="12">SUM(I19:W19)</f>
        <v>61</v>
      </c>
      <c r="AP18" s="148">
        <f t="shared" ref="AP18" si="13">SUM(I20:W20)</f>
        <v>21</v>
      </c>
      <c r="AQ18" s="110">
        <v>80</v>
      </c>
      <c r="AR18" s="113">
        <f>IF(G18="Женский",'ПК 2 Дагестан'!$G$22/2,'ПК 2 Дагестан'!$F$22/2)</f>
        <v>80.333333333333329</v>
      </c>
      <c r="AS18" s="158">
        <f>IFERROR(IF(C18="","",AN18-AQ18),"")</f>
        <v>2</v>
      </c>
      <c r="AT18" s="160">
        <f>IF(C18="","",AN18-AR18)</f>
        <v>1.6666666666666714</v>
      </c>
      <c r="AU18" s="148">
        <f>IF(C18="","",COUNTIF(I18:AL18,"Я")+COUNTIF(I18:AL18,"Н")+COUNTIF(I18:AL18,"Д")+COUNTIF(I18:AL18,"РВ"))</f>
        <v>10</v>
      </c>
      <c r="AV18" s="149">
        <f t="shared" ref="AV18" si="14">SUM(I19:AL20)</f>
        <v>82</v>
      </c>
      <c r="AW18" s="122">
        <f t="shared" ref="AW18" si="15">SUM(I19:AL19)</f>
        <v>61</v>
      </c>
      <c r="AX18" s="148">
        <f t="shared" ref="AX18" si="16">SUM(I20:AL20)</f>
        <v>21</v>
      </c>
      <c r="AY18" s="110">
        <v>159</v>
      </c>
      <c r="AZ18" s="113">
        <f>IF(G18="Женский",'ПК 2 Дагестан'!$G$22,'ПК 2 Дагестан'!$F$22)</f>
        <v>160.66666666666666</v>
      </c>
      <c r="BA18" s="158">
        <f>IFERROR(IF(C18="","",AV18-AY18),"")</f>
        <v>-77</v>
      </c>
      <c r="BB18" s="202">
        <f>IF(C18="","",AV18-AZ18)</f>
        <v>-78.666666666666657</v>
      </c>
      <c r="BC18" s="196"/>
      <c r="BD18" s="107"/>
      <c r="BE18" s="107"/>
    </row>
    <row r="19" spans="2:57" x14ac:dyDescent="0.3">
      <c r="B19" s="171"/>
      <c r="C19" s="174"/>
      <c r="D19" s="162"/>
      <c r="E19" s="162"/>
      <c r="F19" s="162"/>
      <c r="G19" s="164"/>
      <c r="H19" s="33" t="s">
        <v>48</v>
      </c>
      <c r="I19" s="283"/>
      <c r="J19" s="92">
        <v>11</v>
      </c>
      <c r="K19" s="92">
        <v>2</v>
      </c>
      <c r="L19" s="92">
        <v>4</v>
      </c>
      <c r="M19" s="92">
        <v>2</v>
      </c>
      <c r="N19" s="92"/>
      <c r="O19" s="92">
        <v>8</v>
      </c>
      <c r="P19" s="92">
        <v>11</v>
      </c>
      <c r="Q19" s="92">
        <v>2</v>
      </c>
      <c r="R19" s="92">
        <v>2</v>
      </c>
      <c r="S19" s="92"/>
      <c r="T19" s="92"/>
      <c r="U19" s="96"/>
      <c r="V19" s="92">
        <v>11</v>
      </c>
      <c r="W19" s="92">
        <v>8</v>
      </c>
      <c r="X19" s="92"/>
      <c r="Y19" s="92"/>
      <c r="Z19" s="92"/>
      <c r="AA19" s="92"/>
      <c r="AB19" s="92"/>
      <c r="AC19" s="96"/>
      <c r="AD19" s="92"/>
      <c r="AE19" s="102"/>
      <c r="AF19" s="92"/>
      <c r="AG19" s="92"/>
      <c r="AH19" s="92"/>
      <c r="AI19" s="92"/>
      <c r="AJ19" s="92"/>
      <c r="AK19" s="92"/>
      <c r="AL19" s="92"/>
      <c r="AM19" s="156"/>
      <c r="AN19" s="149"/>
      <c r="AO19" s="123"/>
      <c r="AP19" s="149"/>
      <c r="AQ19" s="111"/>
      <c r="AR19" s="114"/>
      <c r="AS19" s="117"/>
      <c r="AT19" s="120"/>
      <c r="AU19" s="149"/>
      <c r="AV19" s="149"/>
      <c r="AW19" s="123"/>
      <c r="AX19" s="149"/>
      <c r="AY19" s="111"/>
      <c r="AZ19" s="114"/>
      <c r="BA19" s="117"/>
      <c r="BB19" s="203"/>
      <c r="BC19" s="197"/>
      <c r="BD19" s="107"/>
      <c r="BE19" s="107"/>
    </row>
    <row r="20" spans="2:57" ht="15" thickBot="1" x14ac:dyDescent="0.35">
      <c r="B20" s="172"/>
      <c r="C20" s="175"/>
      <c r="D20" s="177"/>
      <c r="E20" s="162"/>
      <c r="F20" s="162"/>
      <c r="G20" s="179"/>
      <c r="H20" s="36" t="s">
        <v>63</v>
      </c>
      <c r="I20" s="284"/>
      <c r="J20" s="90"/>
      <c r="K20" s="90">
        <v>2</v>
      </c>
      <c r="L20" s="90">
        <v>7</v>
      </c>
      <c r="M20" s="90">
        <v>5</v>
      </c>
      <c r="N20" s="90"/>
      <c r="O20" s="90"/>
      <c r="P20" s="90"/>
      <c r="Q20" s="90">
        <v>2</v>
      </c>
      <c r="R20" s="90">
        <v>5</v>
      </c>
      <c r="S20" s="90"/>
      <c r="T20" s="90"/>
      <c r="U20" s="97"/>
      <c r="V20" s="90"/>
      <c r="W20" s="90"/>
      <c r="X20" s="90"/>
      <c r="Y20" s="90"/>
      <c r="Z20" s="90"/>
      <c r="AA20" s="90"/>
      <c r="AB20" s="90"/>
      <c r="AC20" s="97"/>
      <c r="AD20" s="90"/>
      <c r="AE20" s="103"/>
      <c r="AF20" s="90"/>
      <c r="AG20" s="90"/>
      <c r="AH20" s="90"/>
      <c r="AI20" s="90"/>
      <c r="AJ20" s="90"/>
      <c r="AK20" s="90"/>
      <c r="AL20" s="90"/>
      <c r="AM20" s="157"/>
      <c r="AN20" s="150"/>
      <c r="AO20" s="124"/>
      <c r="AP20" s="150"/>
      <c r="AQ20" s="112"/>
      <c r="AR20" s="115"/>
      <c r="AS20" s="159"/>
      <c r="AT20" s="161"/>
      <c r="AU20" s="150"/>
      <c r="AV20" s="149"/>
      <c r="AW20" s="124"/>
      <c r="AX20" s="150"/>
      <c r="AY20" s="112"/>
      <c r="AZ20" s="115"/>
      <c r="BA20" s="159"/>
      <c r="BB20" s="204"/>
      <c r="BC20" s="198"/>
      <c r="BD20" s="107"/>
      <c r="BE20" s="107"/>
    </row>
    <row r="21" spans="2:57" ht="15" customHeight="1" x14ac:dyDescent="0.3">
      <c r="B21" s="170">
        <v>5</v>
      </c>
      <c r="C21" s="173" t="str">
        <f>[1]ШР!P12</f>
        <v>Мирзоев Ханахмед Бегахмедович</v>
      </c>
      <c r="D21" s="176" t="s">
        <v>370</v>
      </c>
      <c r="E21" s="162" t="s">
        <v>1079</v>
      </c>
      <c r="F21" s="162" t="str">
        <f>IFERROR(INDEX([1]ШР!M:M,MATCH('[1]Шаблон Табеля'!C21:C22,[1]ШР!P:P,0)),"")</f>
        <v>Отдел Единой государственной автоматизированной информационной системы</v>
      </c>
      <c r="G21" s="178" t="s">
        <v>142</v>
      </c>
      <c r="H21" s="35" t="s">
        <v>38</v>
      </c>
      <c r="I21" s="98" t="s">
        <v>8</v>
      </c>
      <c r="J21" s="91"/>
      <c r="K21" s="91" t="s">
        <v>8</v>
      </c>
      <c r="L21" s="91" t="s">
        <v>8</v>
      </c>
      <c r="M21" s="91" t="s">
        <v>8</v>
      </c>
      <c r="N21" s="91"/>
      <c r="O21" s="91" t="s">
        <v>8</v>
      </c>
      <c r="P21" s="91" t="s">
        <v>8</v>
      </c>
      <c r="Q21" s="91" t="s">
        <v>8</v>
      </c>
      <c r="R21" s="91" t="s">
        <v>8</v>
      </c>
      <c r="S21" s="91" t="s">
        <v>8</v>
      </c>
      <c r="T21" s="91"/>
      <c r="U21" s="95"/>
      <c r="V21" s="91" t="s">
        <v>8</v>
      </c>
      <c r="W21" s="91" t="s">
        <v>8</v>
      </c>
      <c r="X21" s="91"/>
      <c r="Y21" s="91"/>
      <c r="Z21" s="91"/>
      <c r="AA21" s="91"/>
      <c r="AB21" s="91"/>
      <c r="AC21" s="95"/>
      <c r="AD21" s="91"/>
      <c r="AE21" s="101"/>
      <c r="AF21" s="91"/>
      <c r="AG21" s="91"/>
      <c r="AH21" s="91"/>
      <c r="AI21" s="91"/>
      <c r="AJ21" s="91"/>
      <c r="AK21" s="91"/>
      <c r="AL21" s="91"/>
      <c r="AM21" s="155">
        <f>IF(C21="","",COUNTIF(I21:W21,"Я")+COUNTIF(I21:W21,"Н")+COUNTIF(I21:W21,"Д")+COUNTIF(I21:W21,"РВ"))</f>
        <v>11</v>
      </c>
      <c r="AN21" s="148">
        <f t="shared" ref="AN21" si="17">SUM(I22:W23)</f>
        <v>88</v>
      </c>
      <c r="AO21" s="122">
        <f t="shared" ref="AO21" si="18">SUM(I22:W22)</f>
        <v>67</v>
      </c>
      <c r="AP21" s="148">
        <f t="shared" ref="AP21" si="19">SUM(I23:W23)</f>
        <v>21</v>
      </c>
      <c r="AQ21" s="110">
        <v>80</v>
      </c>
      <c r="AR21" s="113">
        <f>IF(G21="Женский",'ПК 2 Дагестан'!$G$22/2,'ПК 2 Дагестан'!$F$22/2)</f>
        <v>80.333333333333329</v>
      </c>
      <c r="AS21" s="158">
        <f>IFERROR(IF(C21="","",AN21-AQ21),"")</f>
        <v>8</v>
      </c>
      <c r="AT21" s="160">
        <f>IF(C21="","",AN21-AR21)</f>
        <v>7.6666666666666714</v>
      </c>
      <c r="AU21" s="148">
        <f>IF(C21="","",COUNTIF(I21:AL21,"Я")+COUNTIF(I21:AL21,"Н")+COUNTIF(I21:AL21,"Д")+COUNTIF(I21:AL21,"РВ"))</f>
        <v>11</v>
      </c>
      <c r="AV21" s="149">
        <f t="shared" ref="AV21" si="20">SUM(I22:AL23)</f>
        <v>88</v>
      </c>
      <c r="AW21" s="122">
        <f t="shared" ref="AW21" si="21">SUM(I22:AL22)</f>
        <v>67</v>
      </c>
      <c r="AX21" s="148">
        <f t="shared" ref="AX21" si="22">SUM(I23:AL23)</f>
        <v>21</v>
      </c>
      <c r="AY21" s="110">
        <v>159</v>
      </c>
      <c r="AZ21" s="113">
        <f>IF(G21="Женский",'ПК 2 Дагестан'!$G$22,'ПК 2 Дагестан'!$F$22)</f>
        <v>160.66666666666666</v>
      </c>
      <c r="BA21" s="158">
        <f>IFERROR(IF(C21="","",AV21-AY21),"")</f>
        <v>-71</v>
      </c>
      <c r="BB21" s="202">
        <f>IF(C21="","",AV21-AZ21)</f>
        <v>-72.666666666666657</v>
      </c>
      <c r="BC21" s="196"/>
      <c r="BD21" s="107"/>
      <c r="BE21" s="107"/>
    </row>
    <row r="22" spans="2:57" x14ac:dyDescent="0.3">
      <c r="B22" s="171"/>
      <c r="C22" s="174"/>
      <c r="D22" s="162"/>
      <c r="E22" s="162"/>
      <c r="F22" s="162"/>
      <c r="G22" s="164"/>
      <c r="H22" s="33" t="s">
        <v>48</v>
      </c>
      <c r="I22" s="100">
        <v>11</v>
      </c>
      <c r="J22" s="92"/>
      <c r="K22" s="92">
        <v>11</v>
      </c>
      <c r="L22" s="92">
        <v>2</v>
      </c>
      <c r="M22" s="92">
        <v>2</v>
      </c>
      <c r="N22" s="92"/>
      <c r="O22" s="92">
        <v>11</v>
      </c>
      <c r="P22" s="92">
        <v>11</v>
      </c>
      <c r="Q22" s="92">
        <v>11</v>
      </c>
      <c r="R22" s="92">
        <v>2</v>
      </c>
      <c r="S22" s="92">
        <v>2</v>
      </c>
      <c r="T22" s="92"/>
      <c r="U22" s="96"/>
      <c r="V22" s="92">
        <v>2</v>
      </c>
      <c r="W22" s="92">
        <v>2</v>
      </c>
      <c r="X22" s="92"/>
      <c r="Y22" s="92"/>
      <c r="Z22" s="92"/>
      <c r="AA22" s="92"/>
      <c r="AB22" s="92"/>
      <c r="AC22" s="96"/>
      <c r="AD22" s="92"/>
      <c r="AE22" s="102"/>
      <c r="AF22" s="92"/>
      <c r="AG22" s="92"/>
      <c r="AH22" s="92"/>
      <c r="AI22" s="92"/>
      <c r="AJ22" s="92"/>
      <c r="AK22" s="92"/>
      <c r="AL22" s="92"/>
      <c r="AM22" s="156"/>
      <c r="AN22" s="149"/>
      <c r="AO22" s="123"/>
      <c r="AP22" s="149"/>
      <c r="AQ22" s="111"/>
      <c r="AR22" s="114"/>
      <c r="AS22" s="117"/>
      <c r="AT22" s="120"/>
      <c r="AU22" s="149"/>
      <c r="AV22" s="149"/>
      <c r="AW22" s="123"/>
      <c r="AX22" s="149"/>
      <c r="AY22" s="111"/>
      <c r="AZ22" s="114"/>
      <c r="BA22" s="117"/>
      <c r="BB22" s="203"/>
      <c r="BC22" s="197"/>
      <c r="BD22" s="107"/>
      <c r="BE22" s="107"/>
    </row>
    <row r="23" spans="2:57" ht="15" thickBot="1" x14ac:dyDescent="0.35">
      <c r="B23" s="172"/>
      <c r="C23" s="175"/>
      <c r="D23" s="177"/>
      <c r="E23" s="162"/>
      <c r="F23" s="162"/>
      <c r="G23" s="179"/>
      <c r="H23" s="36" t="s">
        <v>63</v>
      </c>
      <c r="I23" s="282"/>
      <c r="J23" s="90"/>
      <c r="K23" s="90"/>
      <c r="L23" s="90">
        <v>2</v>
      </c>
      <c r="M23" s="90">
        <v>5</v>
      </c>
      <c r="N23" s="90"/>
      <c r="O23" s="90"/>
      <c r="P23" s="90"/>
      <c r="Q23" s="90"/>
      <c r="R23" s="90">
        <v>2</v>
      </c>
      <c r="S23" s="90">
        <v>5</v>
      </c>
      <c r="T23" s="90"/>
      <c r="U23" s="97"/>
      <c r="V23" s="90">
        <v>2</v>
      </c>
      <c r="W23" s="90">
        <v>5</v>
      </c>
      <c r="X23" s="90"/>
      <c r="Y23" s="90"/>
      <c r="Z23" s="90"/>
      <c r="AA23" s="90"/>
      <c r="AB23" s="90"/>
      <c r="AC23" s="97"/>
      <c r="AD23" s="90"/>
      <c r="AE23" s="103"/>
      <c r="AF23" s="90"/>
      <c r="AG23" s="90"/>
      <c r="AH23" s="90"/>
      <c r="AI23" s="90"/>
      <c r="AJ23" s="90"/>
      <c r="AK23" s="90"/>
      <c r="AL23" s="90"/>
      <c r="AM23" s="157"/>
      <c r="AN23" s="150"/>
      <c r="AO23" s="124"/>
      <c r="AP23" s="150"/>
      <c r="AQ23" s="112"/>
      <c r="AR23" s="115"/>
      <c r="AS23" s="159"/>
      <c r="AT23" s="161"/>
      <c r="AU23" s="150"/>
      <c r="AV23" s="150"/>
      <c r="AW23" s="124"/>
      <c r="AX23" s="150"/>
      <c r="AY23" s="112"/>
      <c r="AZ23" s="115"/>
      <c r="BA23" s="159"/>
      <c r="BB23" s="204"/>
      <c r="BC23" s="198"/>
      <c r="BD23" s="107"/>
      <c r="BE23" s="107"/>
    </row>
  </sheetData>
  <mergeCells count="155">
    <mergeCell ref="BB18:BB20"/>
    <mergeCell ref="AU5:BB6"/>
    <mergeCell ref="BB9:BB11"/>
    <mergeCell ref="AZ15:AZ17"/>
    <mergeCell ref="BA15:BA17"/>
    <mergeCell ref="BB15:BB17"/>
    <mergeCell ref="AV21:AV23"/>
    <mergeCell ref="AY21:AY23"/>
    <mergeCell ref="AZ21:AZ23"/>
    <mergeCell ref="BA21:BA23"/>
    <mergeCell ref="BB7:BB8"/>
    <mergeCell ref="BA7:BA8"/>
    <mergeCell ref="AZ7:AZ8"/>
    <mergeCell ref="AV9:AV11"/>
    <mergeCell ref="AU21:AU23"/>
    <mergeCell ref="AY9:AY11"/>
    <mergeCell ref="BA18:BA20"/>
    <mergeCell ref="AZ12:AZ14"/>
    <mergeCell ref="BA12:BA14"/>
    <mergeCell ref="AV18:AV20"/>
    <mergeCell ref="AY18:AY20"/>
    <mergeCell ref="AZ18:AZ20"/>
    <mergeCell ref="AY15:AY17"/>
    <mergeCell ref="AV15:AV17"/>
    <mergeCell ref="E7:E8"/>
    <mergeCell ref="F7:F8"/>
    <mergeCell ref="B5:B8"/>
    <mergeCell ref="D5:D6"/>
    <mergeCell ref="BE9:BE11"/>
    <mergeCell ref="BE12:BE14"/>
    <mergeCell ref="BE15:BE17"/>
    <mergeCell ref="BE18:BE20"/>
    <mergeCell ref="BE21:BE23"/>
    <mergeCell ref="BD9:BD11"/>
    <mergeCell ref="BD12:BD14"/>
    <mergeCell ref="BD15:BD17"/>
    <mergeCell ref="BD18:BD20"/>
    <mergeCell ref="BD21:BD23"/>
    <mergeCell ref="BC5:BC8"/>
    <mergeCell ref="BC9:BC11"/>
    <mergeCell ref="BC12:BC14"/>
    <mergeCell ref="BC15:BC17"/>
    <mergeCell ref="BC18:BC20"/>
    <mergeCell ref="BC21:BC23"/>
    <mergeCell ref="AZ9:AZ11"/>
    <mergeCell ref="BA9:BA11"/>
    <mergeCell ref="BB21:BB23"/>
    <mergeCell ref="BB12:BB14"/>
    <mergeCell ref="AU18:AU20"/>
    <mergeCell ref="F12:F14"/>
    <mergeCell ref="AP15:AP17"/>
    <mergeCell ref="AP18:AP20"/>
    <mergeCell ref="AP21:AP23"/>
    <mergeCell ref="B9:B11"/>
    <mergeCell ref="C9:C11"/>
    <mergeCell ref="D9:D11"/>
    <mergeCell ref="E9:E11"/>
    <mergeCell ref="F9:F11"/>
    <mergeCell ref="D12:D14"/>
    <mergeCell ref="D15:D17"/>
    <mergeCell ref="E15:E17"/>
    <mergeCell ref="C12:C14"/>
    <mergeCell ref="E12:E14"/>
    <mergeCell ref="AP9:AP11"/>
    <mergeCell ref="AY7:AY8"/>
    <mergeCell ref="B21:B23"/>
    <mergeCell ref="C21:C23"/>
    <mergeCell ref="D21:D23"/>
    <mergeCell ref="E21:E23"/>
    <mergeCell ref="F21:F23"/>
    <mergeCell ref="G21:G23"/>
    <mergeCell ref="B12:B14"/>
    <mergeCell ref="AM9:AM11"/>
    <mergeCell ref="AN9:AN11"/>
    <mergeCell ref="AN21:AN23"/>
    <mergeCell ref="B15:B17"/>
    <mergeCell ref="C15:C17"/>
    <mergeCell ref="B18:B20"/>
    <mergeCell ref="C18:C20"/>
    <mergeCell ref="D18:D20"/>
    <mergeCell ref="E18:E20"/>
    <mergeCell ref="G18:G20"/>
    <mergeCell ref="AM18:AM20"/>
    <mergeCell ref="AN18:AN20"/>
    <mergeCell ref="F18:F20"/>
    <mergeCell ref="G9:G11"/>
    <mergeCell ref="AS12:AS14"/>
    <mergeCell ref="AU9:AU11"/>
    <mergeCell ref="AY12:AY14"/>
    <mergeCell ref="F15:F17"/>
    <mergeCell ref="G15:G17"/>
    <mergeCell ref="AM15:AM17"/>
    <mergeCell ref="AN15:AN17"/>
    <mergeCell ref="AQ15:AQ17"/>
    <mergeCell ref="AT12:AT14"/>
    <mergeCell ref="AU12:AU14"/>
    <mergeCell ref="AX15:AX17"/>
    <mergeCell ref="G12:G14"/>
    <mergeCell ref="AX12:AX14"/>
    <mergeCell ref="AW12:AW14"/>
    <mergeCell ref="AO12:AO14"/>
    <mergeCell ref="AP12:AP14"/>
    <mergeCell ref="AV12:AV14"/>
    <mergeCell ref="AR15:AR17"/>
    <mergeCell ref="AS15:AS17"/>
    <mergeCell ref="AT15:AT17"/>
    <mergeCell ref="AU15:AU17"/>
    <mergeCell ref="AM7:AP7"/>
    <mergeCell ref="AT7:AT8"/>
    <mergeCell ref="AS7:AS8"/>
    <mergeCell ref="AX21:AX23"/>
    <mergeCell ref="AW15:AW17"/>
    <mergeCell ref="AW18:AW20"/>
    <mergeCell ref="AW21:AW23"/>
    <mergeCell ref="AO15:AO17"/>
    <mergeCell ref="AO18:AO20"/>
    <mergeCell ref="AO21:AO23"/>
    <mergeCell ref="AN12:AN14"/>
    <mergeCell ref="AQ12:AQ14"/>
    <mergeCell ref="AR12:AR14"/>
    <mergeCell ref="AM12:AM14"/>
    <mergeCell ref="AM21:AM23"/>
    <mergeCell ref="AR21:AR23"/>
    <mergeCell ref="AS21:AS23"/>
    <mergeCell ref="AQ21:AQ23"/>
    <mergeCell ref="AT21:AT23"/>
    <mergeCell ref="AX18:AX20"/>
    <mergeCell ref="AS18:AS20"/>
    <mergeCell ref="AQ18:AQ20"/>
    <mergeCell ref="AR18:AR20"/>
    <mergeCell ref="AT18:AT20"/>
    <mergeCell ref="I2:I3"/>
    <mergeCell ref="C2:C3"/>
    <mergeCell ref="AM2:AM3"/>
    <mergeCell ref="C5:C6"/>
    <mergeCell ref="AQ9:AQ11"/>
    <mergeCell ref="AR9:AR11"/>
    <mergeCell ref="AS9:AS11"/>
    <mergeCell ref="AT9:AT11"/>
    <mergeCell ref="AW9:AW11"/>
    <mergeCell ref="AO9:AO11"/>
    <mergeCell ref="H5:H6"/>
    <mergeCell ref="I5:AL6"/>
    <mergeCell ref="AM5:AT6"/>
    <mergeCell ref="G5:G6"/>
    <mergeCell ref="E5:E6"/>
    <mergeCell ref="F5:F6"/>
    <mergeCell ref="G7:G8"/>
    <mergeCell ref="AR7:AR8"/>
    <mergeCell ref="AQ7:AQ8"/>
    <mergeCell ref="H7:H8"/>
    <mergeCell ref="AU7:AX7"/>
    <mergeCell ref="AX9:AX11"/>
    <mergeCell ref="C7:C8"/>
    <mergeCell ref="D7:D8"/>
  </mergeCells>
  <conditionalFormatting sqref="I7:AL23">
    <cfRule type="expression" dxfId="8" priority="1">
      <formula>OR(I$7="СБ",I$7="ВС")</formula>
    </cfRule>
  </conditionalFormatting>
  <conditionalFormatting sqref="AS9:AS23">
    <cfRule type="cellIs" dxfId="7" priority="3" operator="lessThan">
      <formula>0</formula>
    </cfRule>
    <cfRule type="containsBlanks" dxfId="6" priority="8">
      <formula>LEN(TRIM(AS9))=0</formula>
    </cfRule>
    <cfRule type="cellIs" dxfId="5" priority="9" operator="between">
      <formula>0</formula>
      <formula>10</formula>
    </cfRule>
    <cfRule type="cellIs" dxfId="4" priority="10" operator="greaterThan">
      <formula>10</formula>
    </cfRule>
  </conditionalFormatting>
  <conditionalFormatting sqref="BA9:BA23">
    <cfRule type="cellIs" dxfId="3" priority="2" operator="lessThan">
      <formula>0</formula>
    </cfRule>
    <cfRule type="cellIs" dxfId="2" priority="5" operator="between">
      <formula>0</formula>
      <formula>10</formula>
    </cfRule>
    <cfRule type="containsBlanks" dxfId="1" priority="6">
      <formula>LEN(TRIM(BA9))=0</formula>
    </cfRule>
    <cfRule type="cellIs" dxfId="0" priority="7" operator="greaterThan">
      <formula>10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'Справочный лист'!$F$3:$F$14</xm:f>
          </x14:formula1>
          <xm:sqref>D5:D6</xm:sqref>
        </x14:dataValidation>
        <x14:dataValidation type="list" allowBlank="1" showInputMessage="1" showErrorMessage="1" xr:uid="{00000000-0002-0000-0100-000001000000}">
          <x14:formula1>
            <xm:f>'Справочный лист'!$H$10:$H$11</xm:f>
          </x14:formula1>
          <xm:sqref>G9:G23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387-FCDE-431A-85C9-AA2ABB964C11}">
  <dimension ref="A1:O352"/>
  <sheetViews>
    <sheetView topLeftCell="A118" workbookViewId="0">
      <selection activeCell="F1" sqref="F1:F1048576"/>
    </sheetView>
  </sheetViews>
  <sheetFormatPr defaultColWidth="30.33203125" defaultRowHeight="14.4" x14ac:dyDescent="0.3"/>
  <cols>
    <col min="1" max="1" width="5.5546875" customWidth="1"/>
    <col min="2" max="2" width="14.88671875" customWidth="1"/>
    <col min="4" max="4" width="26.6640625" customWidth="1"/>
    <col min="5" max="5" width="22.109375" customWidth="1"/>
    <col min="7" max="7" width="30.88671875" customWidth="1"/>
  </cols>
  <sheetData>
    <row r="1" spans="1:15" x14ac:dyDescent="0.3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22.8" x14ac:dyDescent="0.3">
      <c r="A2" s="86" t="s">
        <v>68</v>
      </c>
      <c r="B2" s="86"/>
      <c r="C2" s="86"/>
      <c r="D2" s="86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x14ac:dyDescent="0.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5" x14ac:dyDescent="0.3">
      <c r="A4" s="87" t="s">
        <v>69</v>
      </c>
      <c r="B4" s="87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5" x14ac:dyDescent="0.3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</row>
    <row r="6" spans="1:15" x14ac:dyDescent="0.3">
      <c r="A6" s="232" t="s">
        <v>70</v>
      </c>
      <c r="B6" s="232" t="s">
        <v>71</v>
      </c>
      <c r="C6" s="232" t="s">
        <v>72</v>
      </c>
      <c r="D6" s="232"/>
      <c r="E6" s="232" t="s">
        <v>73</v>
      </c>
      <c r="F6" s="232" t="s">
        <v>74</v>
      </c>
      <c r="G6" s="232" t="s">
        <v>75</v>
      </c>
      <c r="H6" s="232" t="s">
        <v>798</v>
      </c>
      <c r="I6" s="232" t="s">
        <v>0</v>
      </c>
      <c r="J6" s="232" t="s">
        <v>76</v>
      </c>
      <c r="K6" s="232" t="s">
        <v>37</v>
      </c>
      <c r="L6" s="232" t="s">
        <v>77</v>
      </c>
      <c r="M6" s="232" t="s">
        <v>78</v>
      </c>
      <c r="N6" s="232" t="s">
        <v>799</v>
      </c>
      <c r="O6" s="232" t="s">
        <v>800</v>
      </c>
    </row>
    <row r="7" spans="1:15" x14ac:dyDescent="0.3">
      <c r="A7" s="233"/>
      <c r="B7" s="234"/>
      <c r="C7" s="234"/>
      <c r="D7" s="235"/>
      <c r="E7" s="234"/>
      <c r="F7" s="233"/>
      <c r="G7" s="233"/>
      <c r="H7" s="233"/>
      <c r="I7" s="233"/>
      <c r="J7" s="233"/>
      <c r="K7" s="233"/>
      <c r="L7" s="233"/>
      <c r="M7" s="233"/>
      <c r="N7" s="233"/>
      <c r="O7" s="233"/>
    </row>
    <row r="8" spans="1:15" ht="20.399999999999999" x14ac:dyDescent="0.3">
      <c r="A8" s="88">
        <v>3</v>
      </c>
      <c r="B8" s="89" t="s">
        <v>79</v>
      </c>
      <c r="C8" s="236" t="s">
        <v>168</v>
      </c>
      <c r="D8" s="236"/>
      <c r="E8" s="89" t="s">
        <v>107</v>
      </c>
      <c r="F8" s="89" t="s">
        <v>108</v>
      </c>
      <c r="G8" s="89" t="s">
        <v>218</v>
      </c>
      <c r="H8" s="89"/>
      <c r="I8" s="89" t="s">
        <v>219</v>
      </c>
      <c r="J8" s="89" t="s">
        <v>220</v>
      </c>
      <c r="K8" s="89" t="s">
        <v>109</v>
      </c>
      <c r="L8" s="89" t="s">
        <v>98</v>
      </c>
      <c r="M8" s="89" t="s">
        <v>110</v>
      </c>
      <c r="N8" s="89" t="s">
        <v>804</v>
      </c>
      <c r="O8" s="89" t="s">
        <v>802</v>
      </c>
    </row>
    <row r="9" spans="1:15" ht="20.399999999999999" x14ac:dyDescent="0.3">
      <c r="A9" s="88">
        <v>4</v>
      </c>
      <c r="B9" s="89" t="s">
        <v>79</v>
      </c>
      <c r="C9" s="236" t="s">
        <v>168</v>
      </c>
      <c r="D9" s="236"/>
      <c r="E9" s="89" t="s">
        <v>107</v>
      </c>
      <c r="F9" s="89" t="s">
        <v>108</v>
      </c>
      <c r="G9" s="89" t="s">
        <v>218</v>
      </c>
      <c r="H9" s="89"/>
      <c r="I9" s="89" t="s">
        <v>221</v>
      </c>
      <c r="J9" s="89" t="s">
        <v>222</v>
      </c>
      <c r="K9" s="89" t="s">
        <v>111</v>
      </c>
      <c r="L9" s="89" t="s">
        <v>98</v>
      </c>
      <c r="M9" s="89" t="s">
        <v>112</v>
      </c>
      <c r="N9" s="89" t="s">
        <v>805</v>
      </c>
      <c r="O9" s="89" t="s">
        <v>802</v>
      </c>
    </row>
    <row r="10" spans="1:15" ht="20.399999999999999" x14ac:dyDescent="0.3">
      <c r="A10" s="88">
        <v>5</v>
      </c>
      <c r="B10" s="89" t="s">
        <v>79</v>
      </c>
      <c r="C10" s="236" t="s">
        <v>168</v>
      </c>
      <c r="D10" s="236"/>
      <c r="E10" s="89" t="s">
        <v>107</v>
      </c>
      <c r="F10" s="89" t="s">
        <v>108</v>
      </c>
      <c r="G10" s="89" t="s">
        <v>218</v>
      </c>
      <c r="H10" s="89"/>
      <c r="I10" s="89" t="s">
        <v>223</v>
      </c>
      <c r="J10" s="89" t="s">
        <v>224</v>
      </c>
      <c r="K10" s="89" t="s">
        <v>111</v>
      </c>
      <c r="L10" s="89" t="s">
        <v>98</v>
      </c>
      <c r="M10" s="89" t="s">
        <v>112</v>
      </c>
      <c r="N10" s="89" t="s">
        <v>806</v>
      </c>
      <c r="O10" s="89" t="s">
        <v>802</v>
      </c>
    </row>
    <row r="11" spans="1:15" ht="20.399999999999999" x14ac:dyDescent="0.3">
      <c r="A11" s="88">
        <v>6</v>
      </c>
      <c r="B11" s="89" t="s">
        <v>79</v>
      </c>
      <c r="C11" s="236" t="s">
        <v>168</v>
      </c>
      <c r="D11" s="236"/>
      <c r="E11" s="89" t="s">
        <v>107</v>
      </c>
      <c r="F11" s="89" t="s">
        <v>108</v>
      </c>
      <c r="G11" s="89" t="s">
        <v>218</v>
      </c>
      <c r="H11" s="89"/>
      <c r="I11" s="89" t="s">
        <v>225</v>
      </c>
      <c r="J11" s="89" t="s">
        <v>226</v>
      </c>
      <c r="K11" s="89" t="s">
        <v>111</v>
      </c>
      <c r="L11" s="89" t="s">
        <v>98</v>
      </c>
      <c r="M11" s="89" t="s">
        <v>112</v>
      </c>
      <c r="N11" s="89" t="s">
        <v>807</v>
      </c>
      <c r="O11" s="89" t="s">
        <v>802</v>
      </c>
    </row>
    <row r="12" spans="1:15" ht="20.399999999999999" x14ac:dyDescent="0.3">
      <c r="A12" s="88">
        <v>7</v>
      </c>
      <c r="B12" s="89" t="s">
        <v>79</v>
      </c>
      <c r="C12" s="236" t="s">
        <v>168</v>
      </c>
      <c r="D12" s="236"/>
      <c r="E12" s="89" t="s">
        <v>107</v>
      </c>
      <c r="F12" s="89" t="s">
        <v>108</v>
      </c>
      <c r="G12" s="89" t="s">
        <v>218</v>
      </c>
      <c r="H12" s="89"/>
      <c r="I12" s="89" t="s">
        <v>227</v>
      </c>
      <c r="J12" s="89" t="s">
        <v>228</v>
      </c>
      <c r="K12" s="89" t="s">
        <v>111</v>
      </c>
      <c r="L12" s="89" t="s">
        <v>98</v>
      </c>
      <c r="M12" s="89" t="s">
        <v>112</v>
      </c>
      <c r="N12" s="89" t="s">
        <v>808</v>
      </c>
      <c r="O12" s="89" t="s">
        <v>802</v>
      </c>
    </row>
    <row r="13" spans="1:15" ht="20.399999999999999" x14ac:dyDescent="0.3">
      <c r="A13" s="88">
        <v>8</v>
      </c>
      <c r="B13" s="89" t="s">
        <v>79</v>
      </c>
      <c r="C13" s="236" t="s">
        <v>168</v>
      </c>
      <c r="D13" s="236"/>
      <c r="E13" s="89" t="s">
        <v>107</v>
      </c>
      <c r="F13" s="89" t="s">
        <v>108</v>
      </c>
      <c r="G13" s="89" t="s">
        <v>218</v>
      </c>
      <c r="H13" s="89"/>
      <c r="I13" s="89" t="s">
        <v>229</v>
      </c>
      <c r="J13" s="89" t="s">
        <v>230</v>
      </c>
      <c r="K13" s="89" t="s">
        <v>111</v>
      </c>
      <c r="L13" s="89" t="s">
        <v>98</v>
      </c>
      <c r="M13" s="89" t="s">
        <v>112</v>
      </c>
      <c r="N13" s="89" t="s">
        <v>809</v>
      </c>
      <c r="O13" s="89" t="s">
        <v>802</v>
      </c>
    </row>
    <row r="14" spans="1:15" ht="20.399999999999999" x14ac:dyDescent="0.3">
      <c r="A14" s="88">
        <v>9</v>
      </c>
      <c r="B14" s="89" t="s">
        <v>79</v>
      </c>
      <c r="C14" s="236" t="s">
        <v>168</v>
      </c>
      <c r="D14" s="236"/>
      <c r="E14" s="89" t="s">
        <v>107</v>
      </c>
      <c r="F14" s="89" t="s">
        <v>108</v>
      </c>
      <c r="G14" s="89" t="s">
        <v>218</v>
      </c>
      <c r="H14" s="89"/>
      <c r="I14" s="89" t="s">
        <v>231</v>
      </c>
      <c r="J14" s="89" t="s">
        <v>232</v>
      </c>
      <c r="K14" s="89" t="s">
        <v>111</v>
      </c>
      <c r="L14" s="89" t="s">
        <v>98</v>
      </c>
      <c r="M14" s="89" t="s">
        <v>112</v>
      </c>
      <c r="N14" s="89" t="s">
        <v>810</v>
      </c>
      <c r="O14" s="89" t="s">
        <v>802</v>
      </c>
    </row>
    <row r="15" spans="1:15" ht="20.399999999999999" x14ac:dyDescent="0.3">
      <c r="A15" s="88">
        <v>10</v>
      </c>
      <c r="B15" s="89" t="s">
        <v>79</v>
      </c>
      <c r="C15" s="236" t="s">
        <v>168</v>
      </c>
      <c r="D15" s="236"/>
      <c r="E15" s="89" t="s">
        <v>107</v>
      </c>
      <c r="F15" s="89" t="s">
        <v>108</v>
      </c>
      <c r="G15" s="89" t="s">
        <v>218</v>
      </c>
      <c r="H15" s="89"/>
      <c r="I15" s="89" t="s">
        <v>233</v>
      </c>
      <c r="J15" s="89" t="s">
        <v>234</v>
      </c>
      <c r="K15" s="89" t="s">
        <v>113</v>
      </c>
      <c r="L15" s="89" t="s">
        <v>98</v>
      </c>
      <c r="M15" s="89"/>
      <c r="N15" s="89" t="s">
        <v>811</v>
      </c>
      <c r="O15" s="89" t="s">
        <v>802</v>
      </c>
    </row>
    <row r="16" spans="1:15" ht="20.399999999999999" x14ac:dyDescent="0.3">
      <c r="A16" s="88">
        <v>11</v>
      </c>
      <c r="B16" s="89" t="s">
        <v>79</v>
      </c>
      <c r="C16" s="236" t="s">
        <v>168</v>
      </c>
      <c r="D16" s="236"/>
      <c r="E16" s="89" t="s">
        <v>107</v>
      </c>
      <c r="F16" s="89" t="s">
        <v>108</v>
      </c>
      <c r="G16" s="89" t="s">
        <v>218</v>
      </c>
      <c r="H16" s="89"/>
      <c r="I16" s="89" t="s">
        <v>235</v>
      </c>
      <c r="J16" s="89" t="s">
        <v>236</v>
      </c>
      <c r="K16" s="89" t="s">
        <v>237</v>
      </c>
      <c r="L16" s="89" t="s">
        <v>98</v>
      </c>
      <c r="M16" s="89"/>
      <c r="N16" s="89" t="s">
        <v>812</v>
      </c>
      <c r="O16" s="89" t="s">
        <v>802</v>
      </c>
    </row>
    <row r="17" spans="1:15" ht="20.399999999999999" x14ac:dyDescent="0.3">
      <c r="A17" s="88">
        <v>12</v>
      </c>
      <c r="B17" s="89" t="s">
        <v>79</v>
      </c>
      <c r="C17" s="236" t="s">
        <v>168</v>
      </c>
      <c r="D17" s="236"/>
      <c r="E17" s="89" t="s">
        <v>107</v>
      </c>
      <c r="F17" s="89" t="s">
        <v>108</v>
      </c>
      <c r="G17" s="89" t="s">
        <v>238</v>
      </c>
      <c r="H17" s="89"/>
      <c r="I17" s="89" t="s">
        <v>239</v>
      </c>
      <c r="J17" s="89" t="s">
        <v>240</v>
      </c>
      <c r="K17" s="89" t="s">
        <v>109</v>
      </c>
      <c r="L17" s="89" t="s">
        <v>98</v>
      </c>
      <c r="M17" s="89" t="s">
        <v>110</v>
      </c>
      <c r="N17" s="89" t="s">
        <v>813</v>
      </c>
      <c r="O17" s="89" t="s">
        <v>802</v>
      </c>
    </row>
    <row r="18" spans="1:15" ht="20.399999999999999" x14ac:dyDescent="0.3">
      <c r="A18" s="88">
        <v>13</v>
      </c>
      <c r="B18" s="89" t="s">
        <v>79</v>
      </c>
      <c r="C18" s="236" t="s">
        <v>168</v>
      </c>
      <c r="D18" s="236"/>
      <c r="E18" s="89" t="s">
        <v>107</v>
      </c>
      <c r="F18" s="89" t="s">
        <v>108</v>
      </c>
      <c r="G18" s="89" t="s">
        <v>238</v>
      </c>
      <c r="H18" s="89"/>
      <c r="I18" s="89" t="s">
        <v>241</v>
      </c>
      <c r="J18" s="89" t="s">
        <v>242</v>
      </c>
      <c r="K18" s="89" t="s">
        <v>111</v>
      </c>
      <c r="L18" s="89" t="s">
        <v>98</v>
      </c>
      <c r="M18" s="89" t="s">
        <v>112</v>
      </c>
      <c r="N18" s="89" t="s">
        <v>814</v>
      </c>
      <c r="O18" s="89" t="s">
        <v>802</v>
      </c>
    </row>
    <row r="19" spans="1:15" ht="20.399999999999999" x14ac:dyDescent="0.3">
      <c r="A19" s="88">
        <v>14</v>
      </c>
      <c r="B19" s="89" t="s">
        <v>79</v>
      </c>
      <c r="C19" s="236" t="s">
        <v>168</v>
      </c>
      <c r="D19" s="236"/>
      <c r="E19" s="89" t="s">
        <v>107</v>
      </c>
      <c r="F19" s="89" t="s">
        <v>108</v>
      </c>
      <c r="G19" s="89" t="s">
        <v>238</v>
      </c>
      <c r="H19" s="89"/>
      <c r="I19" s="89" t="s">
        <v>243</v>
      </c>
      <c r="J19" s="89" t="s">
        <v>244</v>
      </c>
      <c r="K19" s="89" t="s">
        <v>111</v>
      </c>
      <c r="L19" s="89" t="s">
        <v>98</v>
      </c>
      <c r="M19" s="89" t="s">
        <v>112</v>
      </c>
      <c r="N19" s="89" t="s">
        <v>815</v>
      </c>
      <c r="O19" s="89" t="s">
        <v>802</v>
      </c>
    </row>
    <row r="20" spans="1:15" x14ac:dyDescent="0.3">
      <c r="A20" s="88">
        <v>15</v>
      </c>
      <c r="B20" s="89" t="s">
        <v>79</v>
      </c>
      <c r="C20" s="236" t="s">
        <v>168</v>
      </c>
      <c r="D20" s="236"/>
      <c r="E20" s="89" t="s">
        <v>107</v>
      </c>
      <c r="F20" s="89" t="s">
        <v>108</v>
      </c>
      <c r="G20" s="89" t="s">
        <v>245</v>
      </c>
      <c r="H20" s="89"/>
      <c r="I20" s="89" t="s">
        <v>246</v>
      </c>
      <c r="J20" s="89" t="s">
        <v>247</v>
      </c>
      <c r="K20" s="89" t="s">
        <v>248</v>
      </c>
      <c r="L20" s="89" t="s">
        <v>98</v>
      </c>
      <c r="M20" s="89"/>
      <c r="N20" s="89" t="s">
        <v>816</v>
      </c>
      <c r="O20" s="89" t="s">
        <v>802</v>
      </c>
    </row>
    <row r="21" spans="1:15" x14ac:dyDescent="0.3">
      <c r="A21" s="88">
        <v>16</v>
      </c>
      <c r="B21" s="89" t="s">
        <v>79</v>
      </c>
      <c r="C21" s="236" t="s">
        <v>168</v>
      </c>
      <c r="D21" s="236"/>
      <c r="E21" s="89" t="s">
        <v>107</v>
      </c>
      <c r="F21" s="89" t="s">
        <v>115</v>
      </c>
      <c r="G21" s="89"/>
      <c r="H21" s="89"/>
      <c r="I21" s="89" t="s">
        <v>249</v>
      </c>
      <c r="J21" s="89" t="s">
        <v>250</v>
      </c>
      <c r="K21" s="89" t="s">
        <v>117</v>
      </c>
      <c r="L21" s="89" t="s">
        <v>98</v>
      </c>
      <c r="M21" s="89"/>
      <c r="N21" s="89" t="s">
        <v>817</v>
      </c>
      <c r="O21" s="89" t="s">
        <v>802</v>
      </c>
    </row>
    <row r="22" spans="1:15" ht="20.399999999999999" x14ac:dyDescent="0.3">
      <c r="A22" s="88">
        <v>17</v>
      </c>
      <c r="B22" s="89" t="s">
        <v>79</v>
      </c>
      <c r="C22" s="236" t="s">
        <v>168</v>
      </c>
      <c r="D22" s="236"/>
      <c r="E22" s="89" t="s">
        <v>107</v>
      </c>
      <c r="F22" s="89" t="s">
        <v>115</v>
      </c>
      <c r="G22" s="89"/>
      <c r="H22" s="89"/>
      <c r="I22" s="89" t="s">
        <v>251</v>
      </c>
      <c r="J22" s="89" t="s">
        <v>252</v>
      </c>
      <c r="K22" s="89" t="s">
        <v>118</v>
      </c>
      <c r="L22" s="89" t="s">
        <v>98</v>
      </c>
      <c r="M22" s="89" t="s">
        <v>119</v>
      </c>
      <c r="N22" s="89" t="s">
        <v>813</v>
      </c>
      <c r="O22" s="89" t="s">
        <v>802</v>
      </c>
    </row>
    <row r="23" spans="1:15" ht="20.399999999999999" x14ac:dyDescent="0.3">
      <c r="A23" s="88">
        <v>18</v>
      </c>
      <c r="B23" s="89" t="s">
        <v>79</v>
      </c>
      <c r="C23" s="236" t="s">
        <v>168</v>
      </c>
      <c r="D23" s="236"/>
      <c r="E23" s="89" t="s">
        <v>107</v>
      </c>
      <c r="F23" s="89" t="s">
        <v>115</v>
      </c>
      <c r="G23" s="89"/>
      <c r="H23" s="89"/>
      <c r="I23" s="89" t="s">
        <v>253</v>
      </c>
      <c r="J23" s="89" t="s">
        <v>254</v>
      </c>
      <c r="K23" s="89" t="s">
        <v>118</v>
      </c>
      <c r="L23" s="89" t="s">
        <v>98</v>
      </c>
      <c r="M23" s="89" t="s">
        <v>119</v>
      </c>
      <c r="N23" s="89" t="s">
        <v>818</v>
      </c>
      <c r="O23" s="89" t="s">
        <v>802</v>
      </c>
    </row>
    <row r="24" spans="1:15" ht="20.399999999999999" x14ac:dyDescent="0.3">
      <c r="A24" s="88">
        <v>19</v>
      </c>
      <c r="B24" s="89" t="s">
        <v>79</v>
      </c>
      <c r="C24" s="236" t="s">
        <v>168</v>
      </c>
      <c r="D24" s="236"/>
      <c r="E24" s="89" t="s">
        <v>107</v>
      </c>
      <c r="F24" s="89" t="s">
        <v>115</v>
      </c>
      <c r="G24" s="89"/>
      <c r="H24" s="89"/>
      <c r="I24" s="89" t="s">
        <v>255</v>
      </c>
      <c r="J24" s="89" t="s">
        <v>256</v>
      </c>
      <c r="K24" s="89" t="s">
        <v>118</v>
      </c>
      <c r="L24" s="89" t="s">
        <v>98</v>
      </c>
      <c r="M24" s="89" t="s">
        <v>119</v>
      </c>
      <c r="N24" s="89" t="s">
        <v>819</v>
      </c>
      <c r="O24" s="89" t="s">
        <v>802</v>
      </c>
    </row>
    <row r="25" spans="1:15" ht="20.399999999999999" x14ac:dyDescent="0.3">
      <c r="A25" s="88">
        <v>20</v>
      </c>
      <c r="B25" s="89" t="s">
        <v>79</v>
      </c>
      <c r="C25" s="236" t="s">
        <v>168</v>
      </c>
      <c r="D25" s="236"/>
      <c r="E25" s="89" t="s">
        <v>107</v>
      </c>
      <c r="F25" s="89" t="s">
        <v>115</v>
      </c>
      <c r="G25" s="89"/>
      <c r="H25" s="89"/>
      <c r="I25" s="89" t="s">
        <v>257</v>
      </c>
      <c r="J25" s="89" t="s">
        <v>258</v>
      </c>
      <c r="K25" s="89" t="s">
        <v>118</v>
      </c>
      <c r="L25" s="89" t="s">
        <v>98</v>
      </c>
      <c r="M25" s="89" t="s">
        <v>119</v>
      </c>
      <c r="N25" s="89" t="s">
        <v>820</v>
      </c>
      <c r="O25" s="89" t="s">
        <v>802</v>
      </c>
    </row>
    <row r="26" spans="1:15" ht="20.399999999999999" x14ac:dyDescent="0.3">
      <c r="A26" s="88">
        <v>21</v>
      </c>
      <c r="B26" s="89" t="s">
        <v>79</v>
      </c>
      <c r="C26" s="236" t="s">
        <v>168</v>
      </c>
      <c r="D26" s="236"/>
      <c r="E26" s="89" t="s">
        <v>107</v>
      </c>
      <c r="F26" s="89" t="s">
        <v>115</v>
      </c>
      <c r="G26" s="89"/>
      <c r="H26" s="89"/>
      <c r="I26" s="89" t="s">
        <v>259</v>
      </c>
      <c r="J26" s="89" t="s">
        <v>260</v>
      </c>
      <c r="K26" s="89" t="s">
        <v>118</v>
      </c>
      <c r="L26" s="89" t="s">
        <v>98</v>
      </c>
      <c r="M26" s="89" t="s">
        <v>119</v>
      </c>
      <c r="N26" s="89" t="s">
        <v>821</v>
      </c>
      <c r="O26" s="89" t="s">
        <v>802</v>
      </c>
    </row>
    <row r="27" spans="1:15" ht="20.399999999999999" x14ac:dyDescent="0.3">
      <c r="A27" s="88">
        <v>22</v>
      </c>
      <c r="B27" s="89" t="s">
        <v>79</v>
      </c>
      <c r="C27" s="236" t="s">
        <v>168</v>
      </c>
      <c r="D27" s="236"/>
      <c r="E27" s="89" t="s">
        <v>107</v>
      </c>
      <c r="F27" s="89" t="s">
        <v>115</v>
      </c>
      <c r="G27" s="89" t="s">
        <v>261</v>
      </c>
      <c r="H27" s="89"/>
      <c r="I27" s="89" t="s">
        <v>262</v>
      </c>
      <c r="J27" s="89" t="s">
        <v>263</v>
      </c>
      <c r="K27" s="89" t="s">
        <v>264</v>
      </c>
      <c r="L27" s="89" t="s">
        <v>98</v>
      </c>
      <c r="M27" s="89" t="s">
        <v>110</v>
      </c>
      <c r="N27" s="89" t="s">
        <v>822</v>
      </c>
      <c r="O27" s="89" t="s">
        <v>802</v>
      </c>
    </row>
    <row r="28" spans="1:15" ht="20.399999999999999" x14ac:dyDescent="0.3">
      <c r="A28" s="88">
        <v>23</v>
      </c>
      <c r="B28" s="89" t="s">
        <v>79</v>
      </c>
      <c r="C28" s="236" t="s">
        <v>168</v>
      </c>
      <c r="D28" s="236"/>
      <c r="E28" s="89" t="s">
        <v>107</v>
      </c>
      <c r="F28" s="89" t="s">
        <v>115</v>
      </c>
      <c r="G28" s="89" t="s">
        <v>261</v>
      </c>
      <c r="H28" s="89"/>
      <c r="I28" s="89" t="s">
        <v>265</v>
      </c>
      <c r="J28" s="89" t="s">
        <v>266</v>
      </c>
      <c r="K28" s="89" t="s">
        <v>264</v>
      </c>
      <c r="L28" s="89" t="s">
        <v>98</v>
      </c>
      <c r="M28" s="89" t="s">
        <v>110</v>
      </c>
      <c r="N28" s="89" t="s">
        <v>823</v>
      </c>
      <c r="O28" s="89" t="s">
        <v>802</v>
      </c>
    </row>
    <row r="29" spans="1:15" ht="20.399999999999999" x14ac:dyDescent="0.3">
      <c r="A29" s="88">
        <v>24</v>
      </c>
      <c r="B29" s="89" t="s">
        <v>79</v>
      </c>
      <c r="C29" s="236" t="s">
        <v>168</v>
      </c>
      <c r="D29" s="236"/>
      <c r="E29" s="89" t="s">
        <v>107</v>
      </c>
      <c r="F29" s="89" t="s">
        <v>115</v>
      </c>
      <c r="G29" s="89" t="s">
        <v>261</v>
      </c>
      <c r="H29" s="89"/>
      <c r="I29" s="89" t="s">
        <v>267</v>
      </c>
      <c r="J29" s="89" t="s">
        <v>268</v>
      </c>
      <c r="K29" s="89" t="s">
        <v>264</v>
      </c>
      <c r="L29" s="89" t="s">
        <v>98</v>
      </c>
      <c r="M29" s="89" t="s">
        <v>110</v>
      </c>
      <c r="N29" s="89" t="s">
        <v>824</v>
      </c>
      <c r="O29" s="89" t="s">
        <v>802</v>
      </c>
    </row>
    <row r="30" spans="1:15" ht="20.399999999999999" x14ac:dyDescent="0.3">
      <c r="A30" s="88">
        <v>25</v>
      </c>
      <c r="B30" s="89" t="s">
        <v>79</v>
      </c>
      <c r="C30" s="236" t="s">
        <v>168</v>
      </c>
      <c r="D30" s="236"/>
      <c r="E30" s="89" t="s">
        <v>107</v>
      </c>
      <c r="F30" s="89" t="s">
        <v>115</v>
      </c>
      <c r="G30" s="89" t="s">
        <v>261</v>
      </c>
      <c r="H30" s="89"/>
      <c r="I30" s="89" t="s">
        <v>269</v>
      </c>
      <c r="J30" s="89" t="s">
        <v>270</v>
      </c>
      <c r="K30" s="89" t="s">
        <v>264</v>
      </c>
      <c r="L30" s="89" t="s">
        <v>98</v>
      </c>
      <c r="M30" s="89" t="s">
        <v>110</v>
      </c>
      <c r="N30" s="89" t="s">
        <v>825</v>
      </c>
      <c r="O30" s="89" t="s">
        <v>802</v>
      </c>
    </row>
    <row r="31" spans="1:15" ht="20.399999999999999" x14ac:dyDescent="0.3">
      <c r="A31" s="88">
        <v>26</v>
      </c>
      <c r="B31" s="89" t="s">
        <v>79</v>
      </c>
      <c r="C31" s="236" t="s">
        <v>168</v>
      </c>
      <c r="D31" s="236"/>
      <c r="E31" s="89" t="s">
        <v>107</v>
      </c>
      <c r="F31" s="89" t="s">
        <v>115</v>
      </c>
      <c r="G31" s="89" t="s">
        <v>271</v>
      </c>
      <c r="H31" s="89"/>
      <c r="I31" s="89" t="s">
        <v>272</v>
      </c>
      <c r="J31" s="89" t="s">
        <v>273</v>
      </c>
      <c r="K31" s="89" t="s">
        <v>116</v>
      </c>
      <c r="L31" s="89" t="s">
        <v>98</v>
      </c>
      <c r="M31" s="89"/>
      <c r="N31" s="89" t="s">
        <v>826</v>
      </c>
      <c r="O31" s="89" t="s">
        <v>802</v>
      </c>
    </row>
    <row r="32" spans="1:15" ht="20.399999999999999" x14ac:dyDescent="0.3">
      <c r="A32" s="88">
        <v>27</v>
      </c>
      <c r="B32" s="89" t="s">
        <v>79</v>
      </c>
      <c r="C32" s="236" t="s">
        <v>168</v>
      </c>
      <c r="D32" s="236"/>
      <c r="E32" s="89" t="s">
        <v>107</v>
      </c>
      <c r="F32" s="89" t="s">
        <v>115</v>
      </c>
      <c r="G32" s="89" t="s">
        <v>271</v>
      </c>
      <c r="H32" s="89"/>
      <c r="I32" s="89" t="s">
        <v>277</v>
      </c>
      <c r="J32" s="89" t="s">
        <v>278</v>
      </c>
      <c r="K32" s="89" t="s">
        <v>276</v>
      </c>
      <c r="L32" s="89" t="s">
        <v>98</v>
      </c>
      <c r="M32" s="89"/>
      <c r="N32" s="89" t="s">
        <v>827</v>
      </c>
      <c r="O32" s="89" t="s">
        <v>802</v>
      </c>
    </row>
    <row r="33" spans="1:15" ht="20.399999999999999" x14ac:dyDescent="0.3">
      <c r="A33" s="88">
        <v>28</v>
      </c>
      <c r="B33" s="89" t="s">
        <v>79</v>
      </c>
      <c r="C33" s="236" t="s">
        <v>168</v>
      </c>
      <c r="D33" s="236"/>
      <c r="E33" s="89" t="s">
        <v>107</v>
      </c>
      <c r="F33" s="89" t="s">
        <v>115</v>
      </c>
      <c r="G33" s="89" t="s">
        <v>271</v>
      </c>
      <c r="H33" s="89"/>
      <c r="I33" s="89" t="s">
        <v>279</v>
      </c>
      <c r="J33" s="89" t="s">
        <v>280</v>
      </c>
      <c r="K33" s="89" t="s">
        <v>276</v>
      </c>
      <c r="L33" s="89" t="s">
        <v>98</v>
      </c>
      <c r="M33" s="89"/>
      <c r="N33" s="89" t="s">
        <v>828</v>
      </c>
      <c r="O33" s="89" t="s">
        <v>802</v>
      </c>
    </row>
    <row r="34" spans="1:15" ht="20.399999999999999" x14ac:dyDescent="0.3">
      <c r="A34" s="88">
        <v>29</v>
      </c>
      <c r="B34" s="89" t="s">
        <v>79</v>
      </c>
      <c r="C34" s="236" t="s">
        <v>168</v>
      </c>
      <c r="D34" s="236"/>
      <c r="E34" s="89" t="s">
        <v>107</v>
      </c>
      <c r="F34" s="89" t="s">
        <v>115</v>
      </c>
      <c r="G34" s="89" t="s">
        <v>271</v>
      </c>
      <c r="H34" s="89"/>
      <c r="I34" s="89" t="s">
        <v>281</v>
      </c>
      <c r="J34" s="89" t="s">
        <v>282</v>
      </c>
      <c r="K34" s="89" t="s">
        <v>276</v>
      </c>
      <c r="L34" s="89" t="s">
        <v>98</v>
      </c>
      <c r="M34" s="89"/>
      <c r="N34" s="89" t="s">
        <v>829</v>
      </c>
      <c r="O34" s="89" t="s">
        <v>830</v>
      </c>
    </row>
    <row r="35" spans="1:15" ht="20.399999999999999" x14ac:dyDescent="0.3">
      <c r="A35" s="88">
        <v>30</v>
      </c>
      <c r="B35" s="89" t="s">
        <v>79</v>
      </c>
      <c r="C35" s="236" t="s">
        <v>168</v>
      </c>
      <c r="D35" s="236"/>
      <c r="E35" s="89" t="s">
        <v>107</v>
      </c>
      <c r="F35" s="89" t="s">
        <v>115</v>
      </c>
      <c r="G35" s="89" t="s">
        <v>271</v>
      </c>
      <c r="H35" s="89"/>
      <c r="I35" s="89" t="s">
        <v>283</v>
      </c>
      <c r="J35" s="89" t="s">
        <v>284</v>
      </c>
      <c r="K35" s="89" t="s">
        <v>276</v>
      </c>
      <c r="L35" s="89" t="s">
        <v>98</v>
      </c>
      <c r="M35" s="89"/>
      <c r="N35" s="89" t="s">
        <v>831</v>
      </c>
      <c r="O35" s="89" t="s">
        <v>802</v>
      </c>
    </row>
    <row r="36" spans="1:15" ht="20.399999999999999" x14ac:dyDescent="0.3">
      <c r="A36" s="88">
        <v>31</v>
      </c>
      <c r="B36" s="89" t="s">
        <v>79</v>
      </c>
      <c r="C36" s="236" t="s">
        <v>168</v>
      </c>
      <c r="D36" s="236"/>
      <c r="E36" s="89" t="s">
        <v>107</v>
      </c>
      <c r="F36" s="89" t="s">
        <v>115</v>
      </c>
      <c r="G36" s="89" t="s">
        <v>271</v>
      </c>
      <c r="H36" s="89"/>
      <c r="I36" s="89" t="s">
        <v>285</v>
      </c>
      <c r="J36" s="89" t="s">
        <v>286</v>
      </c>
      <c r="K36" s="89" t="s">
        <v>287</v>
      </c>
      <c r="L36" s="89" t="s">
        <v>98</v>
      </c>
      <c r="M36" s="89"/>
      <c r="N36" s="89" t="s">
        <v>832</v>
      </c>
      <c r="O36" s="89" t="s">
        <v>802</v>
      </c>
    </row>
    <row r="37" spans="1:15" ht="20.399999999999999" x14ac:dyDescent="0.3">
      <c r="A37" s="88">
        <v>32</v>
      </c>
      <c r="B37" s="89" t="s">
        <v>79</v>
      </c>
      <c r="C37" s="236" t="s">
        <v>168</v>
      </c>
      <c r="D37" s="236"/>
      <c r="E37" s="89" t="s">
        <v>107</v>
      </c>
      <c r="F37" s="89" t="s">
        <v>115</v>
      </c>
      <c r="G37" s="89" t="s">
        <v>271</v>
      </c>
      <c r="H37" s="89" t="s">
        <v>245</v>
      </c>
      <c r="I37" s="89" t="s">
        <v>274</v>
      </c>
      <c r="J37" s="89" t="s">
        <v>275</v>
      </c>
      <c r="K37" s="89" t="s">
        <v>276</v>
      </c>
      <c r="L37" s="89" t="s">
        <v>98</v>
      </c>
      <c r="M37" s="89"/>
      <c r="N37" s="89" t="s">
        <v>833</v>
      </c>
      <c r="O37" s="89" t="s">
        <v>802</v>
      </c>
    </row>
    <row r="38" spans="1:15" ht="20.399999999999999" x14ac:dyDescent="0.3">
      <c r="A38" s="88">
        <v>33</v>
      </c>
      <c r="B38" s="89" t="s">
        <v>79</v>
      </c>
      <c r="C38" s="236" t="s">
        <v>168</v>
      </c>
      <c r="D38" s="236"/>
      <c r="E38" s="89" t="s">
        <v>107</v>
      </c>
      <c r="F38" s="89" t="s">
        <v>115</v>
      </c>
      <c r="G38" s="89" t="s">
        <v>271</v>
      </c>
      <c r="H38" s="89" t="s">
        <v>245</v>
      </c>
      <c r="I38" s="89" t="s">
        <v>782</v>
      </c>
      <c r="J38" s="89" t="s">
        <v>783</v>
      </c>
      <c r="K38" s="89" t="s">
        <v>276</v>
      </c>
      <c r="L38" s="89" t="s">
        <v>98</v>
      </c>
      <c r="M38" s="89"/>
      <c r="N38" s="89" t="s">
        <v>834</v>
      </c>
      <c r="O38" s="89" t="s">
        <v>802</v>
      </c>
    </row>
    <row r="39" spans="1:15" ht="20.399999999999999" x14ac:dyDescent="0.3">
      <c r="A39" s="88">
        <v>34</v>
      </c>
      <c r="B39" s="89" t="s">
        <v>79</v>
      </c>
      <c r="C39" s="236" t="s">
        <v>168</v>
      </c>
      <c r="D39" s="236"/>
      <c r="E39" s="89" t="s">
        <v>107</v>
      </c>
      <c r="F39" s="89" t="s">
        <v>288</v>
      </c>
      <c r="G39" s="89"/>
      <c r="H39" s="89"/>
      <c r="I39" s="89" t="s">
        <v>289</v>
      </c>
      <c r="J39" s="89" t="s">
        <v>290</v>
      </c>
      <c r="K39" s="89" t="s">
        <v>291</v>
      </c>
      <c r="L39" s="89" t="s">
        <v>98</v>
      </c>
      <c r="M39" s="89" t="s">
        <v>110</v>
      </c>
      <c r="N39" s="89" t="s">
        <v>835</v>
      </c>
      <c r="O39" s="89" t="s">
        <v>802</v>
      </c>
    </row>
    <row r="40" spans="1:15" ht="20.399999999999999" x14ac:dyDescent="0.3">
      <c r="A40" s="88">
        <v>35</v>
      </c>
      <c r="B40" s="89" t="s">
        <v>79</v>
      </c>
      <c r="C40" s="236" t="s">
        <v>168</v>
      </c>
      <c r="D40" s="236"/>
      <c r="E40" s="89" t="s">
        <v>107</v>
      </c>
      <c r="F40" s="89" t="s">
        <v>288</v>
      </c>
      <c r="G40" s="89"/>
      <c r="H40" s="89"/>
      <c r="I40" s="89" t="s">
        <v>292</v>
      </c>
      <c r="J40" s="89" t="s">
        <v>293</v>
      </c>
      <c r="K40" s="89" t="s">
        <v>291</v>
      </c>
      <c r="L40" s="89" t="s">
        <v>98</v>
      </c>
      <c r="M40" s="89" t="s">
        <v>110</v>
      </c>
      <c r="N40" s="89" t="s">
        <v>821</v>
      </c>
      <c r="O40" s="89" t="s">
        <v>802</v>
      </c>
    </row>
    <row r="41" spans="1:15" ht="20.399999999999999" x14ac:dyDescent="0.3">
      <c r="A41" s="88">
        <v>36</v>
      </c>
      <c r="B41" s="89" t="s">
        <v>79</v>
      </c>
      <c r="C41" s="236" t="s">
        <v>168</v>
      </c>
      <c r="D41" s="236"/>
      <c r="E41" s="89" t="s">
        <v>107</v>
      </c>
      <c r="F41" s="89" t="s">
        <v>288</v>
      </c>
      <c r="G41" s="89"/>
      <c r="H41" s="89"/>
      <c r="I41" s="89" t="s">
        <v>294</v>
      </c>
      <c r="J41" s="89" t="s">
        <v>295</v>
      </c>
      <c r="K41" s="89" t="s">
        <v>291</v>
      </c>
      <c r="L41" s="89" t="s">
        <v>98</v>
      </c>
      <c r="M41" s="89" t="s">
        <v>110</v>
      </c>
      <c r="N41" s="89" t="s">
        <v>821</v>
      </c>
      <c r="O41" s="89" t="s">
        <v>802</v>
      </c>
    </row>
    <row r="42" spans="1:15" ht="20.399999999999999" x14ac:dyDescent="0.3">
      <c r="A42" s="88">
        <v>37</v>
      </c>
      <c r="B42" s="89" t="s">
        <v>79</v>
      </c>
      <c r="C42" s="236" t="s">
        <v>168</v>
      </c>
      <c r="D42" s="236"/>
      <c r="E42" s="89" t="s">
        <v>107</v>
      </c>
      <c r="F42" s="89" t="s">
        <v>288</v>
      </c>
      <c r="G42" s="89"/>
      <c r="H42" s="89"/>
      <c r="I42" s="89" t="s">
        <v>296</v>
      </c>
      <c r="J42" s="89" t="s">
        <v>297</v>
      </c>
      <c r="K42" s="89" t="s">
        <v>291</v>
      </c>
      <c r="L42" s="89" t="s">
        <v>98</v>
      </c>
      <c r="M42" s="89" t="s">
        <v>110</v>
      </c>
      <c r="N42" s="89" t="s">
        <v>836</v>
      </c>
      <c r="O42" s="89" t="s">
        <v>802</v>
      </c>
    </row>
    <row r="43" spans="1:15" x14ac:dyDescent="0.3">
      <c r="A43" s="88">
        <v>38</v>
      </c>
      <c r="B43" s="89" t="s">
        <v>79</v>
      </c>
      <c r="C43" s="236" t="s">
        <v>168</v>
      </c>
      <c r="D43" s="236"/>
      <c r="E43" s="89" t="s">
        <v>107</v>
      </c>
      <c r="F43" s="89" t="s">
        <v>288</v>
      </c>
      <c r="G43" s="89"/>
      <c r="H43" s="89"/>
      <c r="I43" s="89" t="s">
        <v>298</v>
      </c>
      <c r="J43" s="89" t="s">
        <v>299</v>
      </c>
      <c r="K43" s="89" t="s">
        <v>300</v>
      </c>
      <c r="L43" s="89" t="s">
        <v>98</v>
      </c>
      <c r="M43" s="89"/>
      <c r="N43" s="89" t="s">
        <v>837</v>
      </c>
      <c r="O43" s="89" t="s">
        <v>802</v>
      </c>
    </row>
    <row r="44" spans="1:15" x14ac:dyDescent="0.3">
      <c r="A44" s="88">
        <v>39</v>
      </c>
      <c r="B44" s="89" t="s">
        <v>79</v>
      </c>
      <c r="C44" s="236" t="s">
        <v>168</v>
      </c>
      <c r="D44" s="236"/>
      <c r="E44" s="89" t="s">
        <v>107</v>
      </c>
      <c r="F44" s="89" t="s">
        <v>288</v>
      </c>
      <c r="G44" s="89"/>
      <c r="H44" s="89"/>
      <c r="I44" s="89" t="s">
        <v>301</v>
      </c>
      <c r="J44" s="89" t="s">
        <v>302</v>
      </c>
      <c r="K44" s="89" t="s">
        <v>303</v>
      </c>
      <c r="L44" s="89" t="s">
        <v>98</v>
      </c>
      <c r="M44" s="89"/>
      <c r="N44" s="89" t="s">
        <v>838</v>
      </c>
      <c r="O44" s="89" t="s">
        <v>802</v>
      </c>
    </row>
    <row r="45" spans="1:15" ht="20.399999999999999" x14ac:dyDescent="0.3">
      <c r="A45" s="88">
        <v>40</v>
      </c>
      <c r="B45" s="89" t="s">
        <v>79</v>
      </c>
      <c r="C45" s="236" t="s">
        <v>168</v>
      </c>
      <c r="D45" s="236"/>
      <c r="E45" s="89" t="s">
        <v>81</v>
      </c>
      <c r="F45" s="89"/>
      <c r="G45" s="89"/>
      <c r="H45" s="89"/>
      <c r="I45" s="89" t="s">
        <v>304</v>
      </c>
      <c r="J45" s="89" t="s">
        <v>305</v>
      </c>
      <c r="K45" s="89" t="s">
        <v>306</v>
      </c>
      <c r="L45" s="89" t="s">
        <v>82</v>
      </c>
      <c r="M45" s="89"/>
      <c r="N45" s="89" t="s">
        <v>839</v>
      </c>
      <c r="O45" s="89" t="s">
        <v>802</v>
      </c>
    </row>
    <row r="46" spans="1:15" ht="20.399999999999999" x14ac:dyDescent="0.3">
      <c r="A46" s="88">
        <v>48</v>
      </c>
      <c r="B46" s="89" t="s">
        <v>79</v>
      </c>
      <c r="C46" s="236" t="s">
        <v>168</v>
      </c>
      <c r="D46" s="236"/>
      <c r="E46" s="89" t="s">
        <v>307</v>
      </c>
      <c r="F46" s="89" t="s">
        <v>308</v>
      </c>
      <c r="G46" s="89"/>
      <c r="H46" s="89"/>
      <c r="I46" s="89" t="s">
        <v>309</v>
      </c>
      <c r="J46" s="89" t="s">
        <v>310</v>
      </c>
      <c r="K46" s="89" t="s">
        <v>311</v>
      </c>
      <c r="L46" s="89" t="s">
        <v>312</v>
      </c>
      <c r="M46" s="89" t="s">
        <v>110</v>
      </c>
      <c r="N46" s="89" t="s">
        <v>842</v>
      </c>
      <c r="O46" s="89" t="s">
        <v>802</v>
      </c>
    </row>
    <row r="47" spans="1:15" ht="20.399999999999999" x14ac:dyDescent="0.3">
      <c r="A47" s="88">
        <v>49</v>
      </c>
      <c r="B47" s="89" t="s">
        <v>79</v>
      </c>
      <c r="C47" s="236" t="s">
        <v>168</v>
      </c>
      <c r="D47" s="236"/>
      <c r="E47" s="89" t="s">
        <v>307</v>
      </c>
      <c r="F47" s="89" t="s">
        <v>308</v>
      </c>
      <c r="G47" s="89"/>
      <c r="H47" s="89"/>
      <c r="I47" s="89" t="s">
        <v>313</v>
      </c>
      <c r="J47" s="89" t="s">
        <v>314</v>
      </c>
      <c r="K47" s="89" t="s">
        <v>311</v>
      </c>
      <c r="L47" s="89" t="s">
        <v>312</v>
      </c>
      <c r="M47" s="89" t="s">
        <v>110</v>
      </c>
      <c r="N47" s="89" t="s">
        <v>843</v>
      </c>
      <c r="O47" s="89" t="s">
        <v>802</v>
      </c>
    </row>
    <row r="48" spans="1:15" ht="20.399999999999999" x14ac:dyDescent="0.3">
      <c r="A48" s="88">
        <v>50</v>
      </c>
      <c r="B48" s="89" t="s">
        <v>79</v>
      </c>
      <c r="C48" s="236" t="s">
        <v>168</v>
      </c>
      <c r="D48" s="236"/>
      <c r="E48" s="89" t="s">
        <v>307</v>
      </c>
      <c r="F48" s="89" t="s">
        <v>308</v>
      </c>
      <c r="G48" s="89"/>
      <c r="H48" s="89"/>
      <c r="I48" s="89" t="s">
        <v>315</v>
      </c>
      <c r="J48" s="89" t="s">
        <v>316</v>
      </c>
      <c r="K48" s="89" t="s">
        <v>311</v>
      </c>
      <c r="L48" s="89" t="s">
        <v>312</v>
      </c>
      <c r="M48" s="89" t="s">
        <v>110</v>
      </c>
      <c r="N48" s="89" t="s">
        <v>844</v>
      </c>
      <c r="O48" s="89" t="s">
        <v>802</v>
      </c>
    </row>
    <row r="49" spans="1:15" ht="20.399999999999999" x14ac:dyDescent="0.3">
      <c r="A49" s="88">
        <v>51</v>
      </c>
      <c r="B49" s="89" t="s">
        <v>79</v>
      </c>
      <c r="C49" s="236" t="s">
        <v>168</v>
      </c>
      <c r="D49" s="236"/>
      <c r="E49" s="89" t="s">
        <v>307</v>
      </c>
      <c r="F49" s="89" t="s">
        <v>308</v>
      </c>
      <c r="G49" s="89"/>
      <c r="H49" s="89"/>
      <c r="I49" s="89" t="s">
        <v>317</v>
      </c>
      <c r="J49" s="89" t="s">
        <v>318</v>
      </c>
      <c r="K49" s="89" t="s">
        <v>311</v>
      </c>
      <c r="L49" s="89" t="s">
        <v>312</v>
      </c>
      <c r="M49" s="89" t="s">
        <v>110</v>
      </c>
      <c r="N49" s="89" t="s">
        <v>845</v>
      </c>
      <c r="O49" s="89" t="s">
        <v>802</v>
      </c>
    </row>
    <row r="50" spans="1:15" ht="20.399999999999999" x14ac:dyDescent="0.3">
      <c r="A50" s="88">
        <v>52</v>
      </c>
      <c r="B50" s="89" t="s">
        <v>79</v>
      </c>
      <c r="C50" s="236" t="s">
        <v>168</v>
      </c>
      <c r="D50" s="236"/>
      <c r="E50" s="89" t="s">
        <v>307</v>
      </c>
      <c r="F50" s="89" t="s">
        <v>308</v>
      </c>
      <c r="G50" s="89"/>
      <c r="H50" s="89"/>
      <c r="I50" s="89" t="s">
        <v>319</v>
      </c>
      <c r="J50" s="89" t="s">
        <v>320</v>
      </c>
      <c r="K50" s="89" t="s">
        <v>311</v>
      </c>
      <c r="L50" s="89" t="s">
        <v>312</v>
      </c>
      <c r="M50" s="89" t="s">
        <v>110</v>
      </c>
      <c r="N50" s="89" t="s">
        <v>833</v>
      </c>
      <c r="O50" s="89" t="s">
        <v>802</v>
      </c>
    </row>
    <row r="51" spans="1:15" ht="20.399999999999999" x14ac:dyDescent="0.3">
      <c r="A51" s="88">
        <v>53</v>
      </c>
      <c r="B51" s="89" t="s">
        <v>79</v>
      </c>
      <c r="C51" s="236" t="s">
        <v>168</v>
      </c>
      <c r="D51" s="236"/>
      <c r="E51" s="89" t="s">
        <v>307</v>
      </c>
      <c r="F51" s="89" t="s">
        <v>308</v>
      </c>
      <c r="G51" s="89"/>
      <c r="H51" s="89"/>
      <c r="I51" s="89" t="s">
        <v>321</v>
      </c>
      <c r="J51" s="89" t="s">
        <v>322</v>
      </c>
      <c r="K51" s="89" t="s">
        <v>311</v>
      </c>
      <c r="L51" s="89" t="s">
        <v>312</v>
      </c>
      <c r="M51" s="89" t="s">
        <v>110</v>
      </c>
      <c r="N51" s="89" t="s">
        <v>846</v>
      </c>
      <c r="O51" s="89" t="s">
        <v>847</v>
      </c>
    </row>
    <row r="52" spans="1:15" ht="20.399999999999999" x14ac:dyDescent="0.3">
      <c r="A52" s="88">
        <v>54</v>
      </c>
      <c r="B52" s="89" t="s">
        <v>79</v>
      </c>
      <c r="C52" s="236" t="s">
        <v>168</v>
      </c>
      <c r="D52" s="236"/>
      <c r="E52" s="89" t="s">
        <v>307</v>
      </c>
      <c r="F52" s="89" t="s">
        <v>308</v>
      </c>
      <c r="G52" s="89"/>
      <c r="H52" s="89"/>
      <c r="I52" s="89" t="s">
        <v>323</v>
      </c>
      <c r="J52" s="89" t="s">
        <v>324</v>
      </c>
      <c r="K52" s="89" t="s">
        <v>311</v>
      </c>
      <c r="L52" s="89" t="s">
        <v>312</v>
      </c>
      <c r="M52" s="89" t="s">
        <v>110</v>
      </c>
      <c r="N52" s="89" t="s">
        <v>848</v>
      </c>
      <c r="O52" s="89" t="s">
        <v>802</v>
      </c>
    </row>
    <row r="53" spans="1:15" ht="20.399999999999999" x14ac:dyDescent="0.3">
      <c r="A53" s="88">
        <v>55</v>
      </c>
      <c r="B53" s="89" t="s">
        <v>79</v>
      </c>
      <c r="C53" s="236" t="s">
        <v>168</v>
      </c>
      <c r="D53" s="236"/>
      <c r="E53" s="89" t="s">
        <v>307</v>
      </c>
      <c r="F53" s="89" t="s">
        <v>308</v>
      </c>
      <c r="G53" s="89"/>
      <c r="H53" s="89"/>
      <c r="I53" s="89" t="s">
        <v>325</v>
      </c>
      <c r="J53" s="89" t="s">
        <v>326</v>
      </c>
      <c r="K53" s="89" t="s">
        <v>311</v>
      </c>
      <c r="L53" s="89" t="s">
        <v>312</v>
      </c>
      <c r="M53" s="89" t="s">
        <v>110</v>
      </c>
      <c r="N53" s="89" t="s">
        <v>849</v>
      </c>
      <c r="O53" s="89" t="s">
        <v>841</v>
      </c>
    </row>
    <row r="54" spans="1:15" ht="20.399999999999999" x14ac:dyDescent="0.3">
      <c r="A54" s="88">
        <v>56</v>
      </c>
      <c r="B54" s="89" t="s">
        <v>79</v>
      </c>
      <c r="C54" s="236" t="s">
        <v>168</v>
      </c>
      <c r="D54" s="236"/>
      <c r="E54" s="89" t="s">
        <v>307</v>
      </c>
      <c r="F54" s="89" t="s">
        <v>308</v>
      </c>
      <c r="G54" s="89"/>
      <c r="H54" s="89"/>
      <c r="I54" s="89" t="s">
        <v>327</v>
      </c>
      <c r="J54" s="89" t="s">
        <v>328</v>
      </c>
      <c r="K54" s="89" t="s">
        <v>311</v>
      </c>
      <c r="L54" s="89" t="s">
        <v>312</v>
      </c>
      <c r="M54" s="89" t="s">
        <v>110</v>
      </c>
      <c r="N54" s="89" t="s">
        <v>816</v>
      </c>
      <c r="O54" s="89" t="s">
        <v>802</v>
      </c>
    </row>
    <row r="55" spans="1:15" ht="20.399999999999999" x14ac:dyDescent="0.3">
      <c r="A55" s="88">
        <v>57</v>
      </c>
      <c r="B55" s="89" t="s">
        <v>79</v>
      </c>
      <c r="C55" s="236" t="s">
        <v>168</v>
      </c>
      <c r="D55" s="236"/>
      <c r="E55" s="89" t="s">
        <v>307</v>
      </c>
      <c r="F55" s="89" t="s">
        <v>308</v>
      </c>
      <c r="G55" s="89"/>
      <c r="H55" s="89"/>
      <c r="I55" s="89" t="s">
        <v>329</v>
      </c>
      <c r="J55" s="89" t="s">
        <v>330</v>
      </c>
      <c r="K55" s="89" t="s">
        <v>331</v>
      </c>
      <c r="L55" s="89" t="s">
        <v>312</v>
      </c>
      <c r="M55" s="89" t="s">
        <v>110</v>
      </c>
      <c r="N55" s="89" t="s">
        <v>850</v>
      </c>
      <c r="O55" s="89" t="s">
        <v>802</v>
      </c>
    </row>
    <row r="56" spans="1:15" ht="20.399999999999999" x14ac:dyDescent="0.3">
      <c r="A56" s="88">
        <v>58</v>
      </c>
      <c r="B56" s="89" t="s">
        <v>79</v>
      </c>
      <c r="C56" s="236" t="s">
        <v>168</v>
      </c>
      <c r="D56" s="236"/>
      <c r="E56" s="89" t="s">
        <v>307</v>
      </c>
      <c r="F56" s="89" t="s">
        <v>308</v>
      </c>
      <c r="G56" s="89"/>
      <c r="H56" s="89"/>
      <c r="I56" s="89" t="s">
        <v>332</v>
      </c>
      <c r="J56" s="89" t="s">
        <v>333</v>
      </c>
      <c r="K56" s="89" t="s">
        <v>331</v>
      </c>
      <c r="L56" s="89" t="s">
        <v>312</v>
      </c>
      <c r="M56" s="89" t="s">
        <v>110</v>
      </c>
      <c r="N56" s="89" t="s">
        <v>851</v>
      </c>
      <c r="O56" s="89" t="s">
        <v>802</v>
      </c>
    </row>
    <row r="57" spans="1:15" ht="20.399999999999999" x14ac:dyDescent="0.3">
      <c r="A57" s="88">
        <v>59</v>
      </c>
      <c r="B57" s="89" t="s">
        <v>79</v>
      </c>
      <c r="C57" s="236" t="s">
        <v>168</v>
      </c>
      <c r="D57" s="236"/>
      <c r="E57" s="89" t="s">
        <v>307</v>
      </c>
      <c r="F57" s="89" t="s">
        <v>308</v>
      </c>
      <c r="G57" s="89"/>
      <c r="H57" s="89"/>
      <c r="I57" s="89" t="s">
        <v>334</v>
      </c>
      <c r="J57" s="89" t="s">
        <v>335</v>
      </c>
      <c r="K57" s="89" t="s">
        <v>331</v>
      </c>
      <c r="L57" s="89" t="s">
        <v>312</v>
      </c>
      <c r="M57" s="89" t="s">
        <v>110</v>
      </c>
      <c r="N57" s="89" t="s">
        <v>852</v>
      </c>
      <c r="O57" s="89" t="s">
        <v>802</v>
      </c>
    </row>
    <row r="58" spans="1:15" ht="20.399999999999999" x14ac:dyDescent="0.3">
      <c r="A58" s="88">
        <v>60</v>
      </c>
      <c r="B58" s="89" t="s">
        <v>79</v>
      </c>
      <c r="C58" s="236" t="s">
        <v>168</v>
      </c>
      <c r="D58" s="236"/>
      <c r="E58" s="89" t="s">
        <v>307</v>
      </c>
      <c r="F58" s="89" t="s">
        <v>308</v>
      </c>
      <c r="G58" s="89"/>
      <c r="H58" s="89"/>
      <c r="I58" s="89" t="s">
        <v>336</v>
      </c>
      <c r="J58" s="89" t="s">
        <v>337</v>
      </c>
      <c r="K58" s="89" t="s">
        <v>331</v>
      </c>
      <c r="L58" s="89" t="s">
        <v>312</v>
      </c>
      <c r="M58" s="89" t="s">
        <v>110</v>
      </c>
      <c r="N58" s="89" t="s">
        <v>853</v>
      </c>
      <c r="O58" s="89" t="s">
        <v>802</v>
      </c>
    </row>
    <row r="59" spans="1:15" ht="20.399999999999999" x14ac:dyDescent="0.3">
      <c r="A59" s="88">
        <v>61</v>
      </c>
      <c r="B59" s="89" t="s">
        <v>79</v>
      </c>
      <c r="C59" s="236" t="s">
        <v>168</v>
      </c>
      <c r="D59" s="236"/>
      <c r="E59" s="89" t="s">
        <v>307</v>
      </c>
      <c r="F59" s="89" t="s">
        <v>308</v>
      </c>
      <c r="G59" s="89"/>
      <c r="H59" s="89"/>
      <c r="I59" s="89" t="s">
        <v>784</v>
      </c>
      <c r="J59" s="89" t="s">
        <v>785</v>
      </c>
      <c r="K59" s="89" t="s">
        <v>109</v>
      </c>
      <c r="L59" s="89" t="s">
        <v>312</v>
      </c>
      <c r="M59" s="89" t="s">
        <v>110</v>
      </c>
      <c r="N59" s="89" t="s">
        <v>854</v>
      </c>
      <c r="O59" s="89" t="s">
        <v>802</v>
      </c>
    </row>
    <row r="60" spans="1:15" ht="20.399999999999999" x14ac:dyDescent="0.3">
      <c r="A60" s="88">
        <v>62</v>
      </c>
      <c r="B60" s="89" t="s">
        <v>79</v>
      </c>
      <c r="C60" s="236" t="s">
        <v>168</v>
      </c>
      <c r="D60" s="236"/>
      <c r="E60" s="89" t="s">
        <v>307</v>
      </c>
      <c r="F60" s="89" t="s">
        <v>308</v>
      </c>
      <c r="G60" s="89"/>
      <c r="H60" s="89"/>
      <c r="I60" s="89" t="s">
        <v>338</v>
      </c>
      <c r="J60" s="89" t="s">
        <v>339</v>
      </c>
      <c r="K60" s="89" t="s">
        <v>109</v>
      </c>
      <c r="L60" s="89" t="s">
        <v>312</v>
      </c>
      <c r="M60" s="89" t="s">
        <v>110</v>
      </c>
      <c r="N60" s="89" t="s">
        <v>855</v>
      </c>
      <c r="O60" s="89" t="s">
        <v>802</v>
      </c>
    </row>
    <row r="61" spans="1:15" x14ac:dyDescent="0.3">
      <c r="A61" s="88">
        <v>63</v>
      </c>
      <c r="B61" s="89" t="s">
        <v>79</v>
      </c>
      <c r="C61" s="236" t="s">
        <v>168</v>
      </c>
      <c r="D61" s="236"/>
      <c r="E61" s="89" t="s">
        <v>307</v>
      </c>
      <c r="F61" s="89" t="s">
        <v>308</v>
      </c>
      <c r="G61" s="89"/>
      <c r="H61" s="89"/>
      <c r="I61" s="89" t="s">
        <v>340</v>
      </c>
      <c r="J61" s="89" t="s">
        <v>341</v>
      </c>
      <c r="K61" s="89" t="s">
        <v>342</v>
      </c>
      <c r="L61" s="89" t="s">
        <v>312</v>
      </c>
      <c r="M61" s="89"/>
      <c r="N61" s="89" t="s">
        <v>856</v>
      </c>
      <c r="O61" s="89" t="s">
        <v>802</v>
      </c>
    </row>
    <row r="62" spans="1:15" x14ac:dyDescent="0.3">
      <c r="A62" s="88">
        <v>64</v>
      </c>
      <c r="B62" s="89" t="s">
        <v>79</v>
      </c>
      <c r="C62" s="236" t="s">
        <v>168</v>
      </c>
      <c r="D62" s="236"/>
      <c r="E62" s="89" t="s">
        <v>307</v>
      </c>
      <c r="F62" s="89" t="s">
        <v>308</v>
      </c>
      <c r="G62" s="89"/>
      <c r="H62" s="89"/>
      <c r="I62" s="89" t="s">
        <v>343</v>
      </c>
      <c r="J62" s="89" t="s">
        <v>344</v>
      </c>
      <c r="K62" s="89" t="s">
        <v>217</v>
      </c>
      <c r="L62" s="89" t="s">
        <v>312</v>
      </c>
      <c r="M62" s="89"/>
      <c r="N62" s="89" t="s">
        <v>857</v>
      </c>
      <c r="O62" s="89" t="s">
        <v>802</v>
      </c>
    </row>
    <row r="63" spans="1:15" ht="20.399999999999999" x14ac:dyDescent="0.3">
      <c r="A63" s="88">
        <v>65</v>
      </c>
      <c r="B63" s="89" t="s">
        <v>79</v>
      </c>
      <c r="C63" s="236" t="s">
        <v>168</v>
      </c>
      <c r="D63" s="236"/>
      <c r="E63" s="89" t="s">
        <v>307</v>
      </c>
      <c r="F63" s="89" t="s">
        <v>308</v>
      </c>
      <c r="G63" s="89"/>
      <c r="H63" s="89"/>
      <c r="I63" s="89" t="s">
        <v>345</v>
      </c>
      <c r="J63" s="89" t="s">
        <v>346</v>
      </c>
      <c r="K63" s="89" t="s">
        <v>347</v>
      </c>
      <c r="L63" s="89" t="s">
        <v>312</v>
      </c>
      <c r="M63" s="89" t="s">
        <v>110</v>
      </c>
      <c r="N63" s="89" t="s">
        <v>858</v>
      </c>
      <c r="O63" s="89" t="s">
        <v>802</v>
      </c>
    </row>
    <row r="64" spans="1:15" ht="20.399999999999999" x14ac:dyDescent="0.3">
      <c r="A64" s="88">
        <v>66</v>
      </c>
      <c r="B64" s="89" t="s">
        <v>79</v>
      </c>
      <c r="C64" s="236" t="s">
        <v>168</v>
      </c>
      <c r="D64" s="236"/>
      <c r="E64" s="89" t="s">
        <v>307</v>
      </c>
      <c r="F64" s="89" t="s">
        <v>308</v>
      </c>
      <c r="G64" s="89"/>
      <c r="H64" s="89"/>
      <c r="I64" s="89" t="s">
        <v>348</v>
      </c>
      <c r="J64" s="89" t="s">
        <v>349</v>
      </c>
      <c r="K64" s="89" t="s">
        <v>347</v>
      </c>
      <c r="L64" s="89" t="s">
        <v>312</v>
      </c>
      <c r="M64" s="89" t="s">
        <v>110</v>
      </c>
      <c r="N64" s="89" t="s">
        <v>859</v>
      </c>
      <c r="O64" s="89" t="s">
        <v>802</v>
      </c>
    </row>
    <row r="65" spans="1:15" x14ac:dyDescent="0.3">
      <c r="A65" s="88">
        <v>67</v>
      </c>
      <c r="B65" s="89" t="s">
        <v>79</v>
      </c>
      <c r="C65" s="236" t="s">
        <v>168</v>
      </c>
      <c r="D65" s="236"/>
      <c r="E65" s="89" t="s">
        <v>307</v>
      </c>
      <c r="F65" s="89" t="s">
        <v>308</v>
      </c>
      <c r="G65" s="89"/>
      <c r="H65" s="89"/>
      <c r="I65" s="89" t="s">
        <v>350</v>
      </c>
      <c r="J65" s="89" t="s">
        <v>351</v>
      </c>
      <c r="K65" s="89" t="s">
        <v>352</v>
      </c>
      <c r="L65" s="89" t="s">
        <v>312</v>
      </c>
      <c r="M65" s="89"/>
      <c r="N65" s="89" t="s">
        <v>840</v>
      </c>
      <c r="O65" s="89" t="s">
        <v>860</v>
      </c>
    </row>
    <row r="66" spans="1:15" ht="20.399999999999999" x14ac:dyDescent="0.3">
      <c r="A66" s="88">
        <v>68</v>
      </c>
      <c r="B66" s="89" t="s">
        <v>79</v>
      </c>
      <c r="C66" s="236" t="s">
        <v>168</v>
      </c>
      <c r="D66" s="236"/>
      <c r="E66" s="89" t="s">
        <v>307</v>
      </c>
      <c r="F66" s="89" t="s">
        <v>308</v>
      </c>
      <c r="G66" s="89"/>
      <c r="H66" s="89"/>
      <c r="I66" s="89" t="s">
        <v>353</v>
      </c>
      <c r="J66" s="89" t="s">
        <v>354</v>
      </c>
      <c r="K66" s="89" t="s">
        <v>355</v>
      </c>
      <c r="L66" s="89" t="s">
        <v>312</v>
      </c>
      <c r="M66" s="89" t="s">
        <v>110</v>
      </c>
      <c r="N66" s="89" t="s">
        <v>861</v>
      </c>
      <c r="O66" s="89" t="s">
        <v>802</v>
      </c>
    </row>
    <row r="67" spans="1:15" ht="20.399999999999999" x14ac:dyDescent="0.3">
      <c r="A67" s="88">
        <v>69</v>
      </c>
      <c r="B67" s="89" t="s">
        <v>79</v>
      </c>
      <c r="C67" s="236" t="s">
        <v>168</v>
      </c>
      <c r="D67" s="236"/>
      <c r="E67" s="89" t="s">
        <v>307</v>
      </c>
      <c r="F67" s="89" t="s">
        <v>308</v>
      </c>
      <c r="G67" s="89"/>
      <c r="H67" s="89"/>
      <c r="I67" s="89" t="s">
        <v>356</v>
      </c>
      <c r="J67" s="89" t="s">
        <v>357</v>
      </c>
      <c r="K67" s="89" t="s">
        <v>358</v>
      </c>
      <c r="L67" s="89" t="s">
        <v>312</v>
      </c>
      <c r="M67" s="89" t="s">
        <v>110</v>
      </c>
      <c r="N67" s="89" t="s">
        <v>862</v>
      </c>
      <c r="O67" s="89" t="s">
        <v>802</v>
      </c>
    </row>
    <row r="68" spans="1:15" x14ac:dyDescent="0.3">
      <c r="A68" s="88">
        <v>70</v>
      </c>
      <c r="B68" s="89" t="s">
        <v>79</v>
      </c>
      <c r="C68" s="236" t="s">
        <v>168</v>
      </c>
      <c r="D68" s="236"/>
      <c r="E68" s="89" t="s">
        <v>307</v>
      </c>
      <c r="F68" s="89" t="s">
        <v>308</v>
      </c>
      <c r="G68" s="89"/>
      <c r="H68" s="89"/>
      <c r="I68" s="89" t="s">
        <v>359</v>
      </c>
      <c r="J68" s="89" t="s">
        <v>360</v>
      </c>
      <c r="K68" s="89" t="s">
        <v>361</v>
      </c>
      <c r="L68" s="89" t="s">
        <v>312</v>
      </c>
      <c r="M68" s="89"/>
      <c r="N68" s="89" t="s">
        <v>863</v>
      </c>
      <c r="O68" s="89" t="s">
        <v>802</v>
      </c>
    </row>
    <row r="69" spans="1:15" ht="40.799999999999997" x14ac:dyDescent="0.3">
      <c r="A69" s="88">
        <v>71</v>
      </c>
      <c r="B69" s="89" t="s">
        <v>79</v>
      </c>
      <c r="C69" s="236" t="s">
        <v>168</v>
      </c>
      <c r="D69" s="236"/>
      <c r="E69" s="89" t="s">
        <v>103</v>
      </c>
      <c r="F69" s="89"/>
      <c r="G69" s="89"/>
      <c r="H69" s="89"/>
      <c r="I69" s="89" t="s">
        <v>362</v>
      </c>
      <c r="J69" s="89" t="s">
        <v>363</v>
      </c>
      <c r="K69" s="89" t="s">
        <v>104</v>
      </c>
      <c r="L69" s="89" t="s">
        <v>98</v>
      </c>
      <c r="M69" s="89"/>
      <c r="N69" s="89" t="s">
        <v>864</v>
      </c>
      <c r="O69" s="89" t="s">
        <v>802</v>
      </c>
    </row>
    <row r="70" spans="1:15" ht="40.799999999999997" x14ac:dyDescent="0.3">
      <c r="A70" s="88">
        <v>72</v>
      </c>
      <c r="B70" s="89" t="s">
        <v>79</v>
      </c>
      <c r="C70" s="236" t="s">
        <v>168</v>
      </c>
      <c r="D70" s="236"/>
      <c r="E70" s="89" t="s">
        <v>103</v>
      </c>
      <c r="F70" s="89"/>
      <c r="G70" s="89"/>
      <c r="H70" s="89"/>
      <c r="I70" s="89" t="s">
        <v>364</v>
      </c>
      <c r="J70" s="89" t="s">
        <v>365</v>
      </c>
      <c r="K70" s="89" t="s">
        <v>105</v>
      </c>
      <c r="L70" s="89" t="s">
        <v>98</v>
      </c>
      <c r="M70" s="89"/>
      <c r="N70" s="89" t="s">
        <v>865</v>
      </c>
      <c r="O70" s="89" t="s">
        <v>802</v>
      </c>
    </row>
    <row r="71" spans="1:15" ht="40.799999999999997" x14ac:dyDescent="0.3">
      <c r="A71" s="88">
        <v>73</v>
      </c>
      <c r="B71" s="89" t="s">
        <v>79</v>
      </c>
      <c r="C71" s="236" t="s">
        <v>168</v>
      </c>
      <c r="D71" s="236"/>
      <c r="E71" s="89" t="s">
        <v>103</v>
      </c>
      <c r="F71" s="89"/>
      <c r="G71" s="89"/>
      <c r="H71" s="89"/>
      <c r="I71" s="89" t="s">
        <v>366</v>
      </c>
      <c r="J71" s="89" t="s">
        <v>367</v>
      </c>
      <c r="K71" s="89" t="s">
        <v>105</v>
      </c>
      <c r="L71" s="89" t="s">
        <v>98</v>
      </c>
      <c r="M71" s="89"/>
      <c r="N71" s="89" t="s">
        <v>866</v>
      </c>
      <c r="O71" s="89" t="s">
        <v>802</v>
      </c>
    </row>
    <row r="72" spans="1:15" ht="40.799999999999997" x14ac:dyDescent="0.3">
      <c r="A72" s="88">
        <v>74</v>
      </c>
      <c r="B72" s="89" t="s">
        <v>79</v>
      </c>
      <c r="C72" s="236" t="s">
        <v>168</v>
      </c>
      <c r="D72" s="236"/>
      <c r="E72" s="89" t="s">
        <v>103</v>
      </c>
      <c r="F72" s="89"/>
      <c r="G72" s="89"/>
      <c r="H72" s="89"/>
      <c r="I72" s="89" t="s">
        <v>368</v>
      </c>
      <c r="J72" s="89" t="s">
        <v>369</v>
      </c>
      <c r="K72" s="89" t="s">
        <v>105</v>
      </c>
      <c r="L72" s="89" t="s">
        <v>98</v>
      </c>
      <c r="M72" s="89"/>
      <c r="N72" s="89" t="s">
        <v>801</v>
      </c>
      <c r="O72" s="89" t="s">
        <v>802</v>
      </c>
    </row>
    <row r="73" spans="1:15" ht="40.799999999999997" x14ac:dyDescent="0.3">
      <c r="A73" s="88">
        <v>75</v>
      </c>
      <c r="B73" s="89" t="s">
        <v>79</v>
      </c>
      <c r="C73" s="236" t="s">
        <v>168</v>
      </c>
      <c r="D73" s="236"/>
      <c r="E73" s="89" t="s">
        <v>103</v>
      </c>
      <c r="F73" s="89"/>
      <c r="G73" s="89"/>
      <c r="H73" s="89"/>
      <c r="I73" s="89" t="s">
        <v>370</v>
      </c>
      <c r="J73" s="89" t="s">
        <v>371</v>
      </c>
      <c r="K73" s="89" t="s">
        <v>372</v>
      </c>
      <c r="L73" s="89" t="s">
        <v>98</v>
      </c>
      <c r="M73" s="89"/>
      <c r="N73" s="89" t="s">
        <v>867</v>
      </c>
      <c r="O73" s="89" t="s">
        <v>830</v>
      </c>
    </row>
    <row r="74" spans="1:15" ht="20.399999999999999" x14ac:dyDescent="0.3">
      <c r="A74" s="88">
        <v>76</v>
      </c>
      <c r="B74" s="89" t="s">
        <v>79</v>
      </c>
      <c r="C74" s="236" t="s">
        <v>168</v>
      </c>
      <c r="D74" s="236"/>
      <c r="E74" s="89" t="s">
        <v>122</v>
      </c>
      <c r="F74" s="89"/>
      <c r="G74" s="89"/>
      <c r="H74" s="89"/>
      <c r="I74" s="89" t="s">
        <v>373</v>
      </c>
      <c r="J74" s="89" t="s">
        <v>374</v>
      </c>
      <c r="K74" s="89" t="s">
        <v>375</v>
      </c>
      <c r="L74" s="89" t="s">
        <v>82</v>
      </c>
      <c r="M74" s="89"/>
      <c r="N74" s="89" t="s">
        <v>868</v>
      </c>
      <c r="O74" s="89" t="s">
        <v>802</v>
      </c>
    </row>
    <row r="75" spans="1:15" ht="20.399999999999999" x14ac:dyDescent="0.3">
      <c r="A75" s="88">
        <v>77</v>
      </c>
      <c r="B75" s="89" t="s">
        <v>79</v>
      </c>
      <c r="C75" s="236" t="s">
        <v>168</v>
      </c>
      <c r="D75" s="236"/>
      <c r="E75" s="89" t="s">
        <v>122</v>
      </c>
      <c r="F75" s="89"/>
      <c r="G75" s="89"/>
      <c r="H75" s="89"/>
      <c r="I75" s="89" t="s">
        <v>376</v>
      </c>
      <c r="J75" s="89" t="s">
        <v>377</v>
      </c>
      <c r="K75" s="89" t="s">
        <v>124</v>
      </c>
      <c r="L75" s="89" t="s">
        <v>82</v>
      </c>
      <c r="M75" s="89" t="s">
        <v>87</v>
      </c>
      <c r="N75" s="89" t="s">
        <v>869</v>
      </c>
      <c r="O75" s="89" t="s">
        <v>802</v>
      </c>
    </row>
    <row r="76" spans="1:15" ht="20.399999999999999" x14ac:dyDescent="0.3">
      <c r="A76" s="88">
        <v>78</v>
      </c>
      <c r="B76" s="89" t="s">
        <v>79</v>
      </c>
      <c r="C76" s="236" t="s">
        <v>168</v>
      </c>
      <c r="D76" s="236"/>
      <c r="E76" s="89" t="s">
        <v>122</v>
      </c>
      <c r="F76" s="89"/>
      <c r="G76" s="89"/>
      <c r="H76" s="89"/>
      <c r="I76" s="89" t="s">
        <v>378</v>
      </c>
      <c r="J76" s="89" t="s">
        <v>379</v>
      </c>
      <c r="K76" s="89" t="s">
        <v>124</v>
      </c>
      <c r="L76" s="89" t="s">
        <v>82</v>
      </c>
      <c r="M76" s="89" t="s">
        <v>87</v>
      </c>
      <c r="N76" s="89" t="s">
        <v>870</v>
      </c>
      <c r="O76" s="89" t="s">
        <v>802</v>
      </c>
    </row>
    <row r="77" spans="1:15" ht="20.399999999999999" x14ac:dyDescent="0.3">
      <c r="A77" s="88">
        <v>79</v>
      </c>
      <c r="B77" s="89" t="s">
        <v>79</v>
      </c>
      <c r="C77" s="236" t="s">
        <v>168</v>
      </c>
      <c r="D77" s="236"/>
      <c r="E77" s="89" t="s">
        <v>122</v>
      </c>
      <c r="F77" s="89"/>
      <c r="G77" s="89"/>
      <c r="H77" s="89"/>
      <c r="I77" s="89" t="s">
        <v>380</v>
      </c>
      <c r="J77" s="89" t="s">
        <v>381</v>
      </c>
      <c r="K77" s="89" t="s">
        <v>124</v>
      </c>
      <c r="L77" s="89" t="s">
        <v>82</v>
      </c>
      <c r="M77" s="89" t="s">
        <v>87</v>
      </c>
      <c r="N77" s="89" t="s">
        <v>871</v>
      </c>
      <c r="O77" s="89" t="s">
        <v>802</v>
      </c>
    </row>
    <row r="78" spans="1:15" ht="20.399999999999999" x14ac:dyDescent="0.3">
      <c r="A78" s="88">
        <v>80</v>
      </c>
      <c r="B78" s="89" t="s">
        <v>79</v>
      </c>
      <c r="C78" s="236" t="s">
        <v>168</v>
      </c>
      <c r="D78" s="236"/>
      <c r="E78" s="89" t="s">
        <v>122</v>
      </c>
      <c r="F78" s="89"/>
      <c r="G78" s="89"/>
      <c r="H78" s="89"/>
      <c r="I78" s="89" t="s">
        <v>382</v>
      </c>
      <c r="J78" s="89" t="s">
        <v>383</v>
      </c>
      <c r="K78" s="89" t="s">
        <v>124</v>
      </c>
      <c r="L78" s="89" t="s">
        <v>82</v>
      </c>
      <c r="M78" s="89" t="s">
        <v>87</v>
      </c>
      <c r="N78" s="89" t="s">
        <v>872</v>
      </c>
      <c r="O78" s="89" t="s">
        <v>841</v>
      </c>
    </row>
    <row r="79" spans="1:15" ht="20.399999999999999" x14ac:dyDescent="0.3">
      <c r="A79" s="88">
        <v>81</v>
      </c>
      <c r="B79" s="89" t="s">
        <v>79</v>
      </c>
      <c r="C79" s="236" t="s">
        <v>168</v>
      </c>
      <c r="D79" s="236"/>
      <c r="E79" s="89" t="s">
        <v>122</v>
      </c>
      <c r="F79" s="89"/>
      <c r="G79" s="89"/>
      <c r="H79" s="89"/>
      <c r="I79" s="89" t="s">
        <v>384</v>
      </c>
      <c r="J79" s="89" t="s">
        <v>385</v>
      </c>
      <c r="K79" s="89" t="s">
        <v>124</v>
      </c>
      <c r="L79" s="89" t="s">
        <v>82</v>
      </c>
      <c r="M79" s="89" t="s">
        <v>87</v>
      </c>
      <c r="N79" s="89" t="s">
        <v>873</v>
      </c>
      <c r="O79" s="89" t="s">
        <v>802</v>
      </c>
    </row>
    <row r="80" spans="1:15" ht="20.399999999999999" x14ac:dyDescent="0.3">
      <c r="A80" s="88">
        <v>82</v>
      </c>
      <c r="B80" s="89" t="s">
        <v>79</v>
      </c>
      <c r="C80" s="236" t="s">
        <v>168</v>
      </c>
      <c r="D80" s="236"/>
      <c r="E80" s="89" t="s">
        <v>122</v>
      </c>
      <c r="F80" s="89"/>
      <c r="G80" s="89"/>
      <c r="H80" s="89"/>
      <c r="I80" s="89" t="s">
        <v>386</v>
      </c>
      <c r="J80" s="89" t="s">
        <v>387</v>
      </c>
      <c r="K80" s="89" t="s">
        <v>124</v>
      </c>
      <c r="L80" s="89" t="s">
        <v>82</v>
      </c>
      <c r="M80" s="89" t="s">
        <v>87</v>
      </c>
      <c r="N80" s="89" t="s">
        <v>874</v>
      </c>
      <c r="O80" s="89" t="s">
        <v>802</v>
      </c>
    </row>
    <row r="81" spans="1:15" ht="20.399999999999999" x14ac:dyDescent="0.3">
      <c r="A81" s="88">
        <v>83</v>
      </c>
      <c r="B81" s="89" t="s">
        <v>79</v>
      </c>
      <c r="C81" s="236" t="s">
        <v>168</v>
      </c>
      <c r="D81" s="236"/>
      <c r="E81" s="89" t="s">
        <v>122</v>
      </c>
      <c r="F81" s="89"/>
      <c r="G81" s="89"/>
      <c r="H81" s="89"/>
      <c r="I81" s="89" t="s">
        <v>388</v>
      </c>
      <c r="J81" s="89" t="s">
        <v>389</v>
      </c>
      <c r="K81" s="89" t="s">
        <v>124</v>
      </c>
      <c r="L81" s="89" t="s">
        <v>82</v>
      </c>
      <c r="M81" s="89" t="s">
        <v>87</v>
      </c>
      <c r="N81" s="89" t="s">
        <v>875</v>
      </c>
      <c r="O81" s="89" t="s">
        <v>802</v>
      </c>
    </row>
    <row r="82" spans="1:15" ht="20.399999999999999" x14ac:dyDescent="0.3">
      <c r="A82" s="88">
        <v>84</v>
      </c>
      <c r="B82" s="89" t="s">
        <v>79</v>
      </c>
      <c r="C82" s="236" t="s">
        <v>168</v>
      </c>
      <c r="D82" s="236"/>
      <c r="E82" s="89" t="s">
        <v>122</v>
      </c>
      <c r="F82" s="89"/>
      <c r="G82" s="89"/>
      <c r="H82" s="89"/>
      <c r="I82" s="89" t="s">
        <v>390</v>
      </c>
      <c r="J82" s="89" t="s">
        <v>391</v>
      </c>
      <c r="K82" s="89" t="s">
        <v>124</v>
      </c>
      <c r="L82" s="89" t="s">
        <v>82</v>
      </c>
      <c r="M82" s="89" t="s">
        <v>87</v>
      </c>
      <c r="N82" s="89" t="s">
        <v>876</v>
      </c>
      <c r="O82" s="89" t="s">
        <v>802</v>
      </c>
    </row>
    <row r="83" spans="1:15" ht="20.399999999999999" x14ac:dyDescent="0.3">
      <c r="A83" s="88">
        <v>85</v>
      </c>
      <c r="B83" s="89" t="s">
        <v>79</v>
      </c>
      <c r="C83" s="236" t="s">
        <v>168</v>
      </c>
      <c r="D83" s="236"/>
      <c r="E83" s="89" t="s">
        <v>122</v>
      </c>
      <c r="F83" s="89"/>
      <c r="G83" s="89"/>
      <c r="H83" s="89"/>
      <c r="I83" s="89" t="s">
        <v>392</v>
      </c>
      <c r="J83" s="89" t="s">
        <v>393</v>
      </c>
      <c r="K83" s="89" t="s">
        <v>125</v>
      </c>
      <c r="L83" s="89" t="s">
        <v>82</v>
      </c>
      <c r="M83" s="89" t="s">
        <v>87</v>
      </c>
      <c r="N83" s="89" t="s">
        <v>877</v>
      </c>
      <c r="O83" s="89" t="s">
        <v>802</v>
      </c>
    </row>
    <row r="84" spans="1:15" ht="20.399999999999999" x14ac:dyDescent="0.3">
      <c r="A84" s="88">
        <v>86</v>
      </c>
      <c r="B84" s="89" t="s">
        <v>79</v>
      </c>
      <c r="C84" s="236" t="s">
        <v>168</v>
      </c>
      <c r="D84" s="236"/>
      <c r="E84" s="89" t="s">
        <v>122</v>
      </c>
      <c r="F84" s="89"/>
      <c r="G84" s="89"/>
      <c r="H84" s="89"/>
      <c r="I84" s="89" t="s">
        <v>394</v>
      </c>
      <c r="J84" s="89" t="s">
        <v>395</v>
      </c>
      <c r="K84" s="89" t="s">
        <v>126</v>
      </c>
      <c r="L84" s="89" t="s">
        <v>82</v>
      </c>
      <c r="M84" s="89"/>
      <c r="N84" s="89" t="s">
        <v>878</v>
      </c>
      <c r="O84" s="89" t="s">
        <v>802</v>
      </c>
    </row>
    <row r="85" spans="1:15" ht="20.399999999999999" x14ac:dyDescent="0.3">
      <c r="A85" s="88">
        <v>87</v>
      </c>
      <c r="B85" s="89" t="s">
        <v>79</v>
      </c>
      <c r="C85" s="236" t="s">
        <v>168</v>
      </c>
      <c r="D85" s="236"/>
      <c r="E85" s="89" t="s">
        <v>122</v>
      </c>
      <c r="F85" s="89"/>
      <c r="G85" s="89"/>
      <c r="H85" s="89"/>
      <c r="I85" s="89" t="s">
        <v>396</v>
      </c>
      <c r="J85" s="89" t="s">
        <v>397</v>
      </c>
      <c r="K85" s="89" t="s">
        <v>398</v>
      </c>
      <c r="L85" s="89" t="s">
        <v>82</v>
      </c>
      <c r="M85" s="89" t="s">
        <v>87</v>
      </c>
      <c r="N85" s="89" t="s">
        <v>879</v>
      </c>
      <c r="O85" s="89" t="s">
        <v>802</v>
      </c>
    </row>
    <row r="86" spans="1:15" ht="20.399999999999999" x14ac:dyDescent="0.3">
      <c r="A86" s="88">
        <v>88</v>
      </c>
      <c r="B86" s="89" t="s">
        <v>79</v>
      </c>
      <c r="C86" s="236" t="s">
        <v>168</v>
      </c>
      <c r="D86" s="236"/>
      <c r="E86" s="89" t="s">
        <v>122</v>
      </c>
      <c r="F86" s="89"/>
      <c r="G86" s="89"/>
      <c r="H86" s="89"/>
      <c r="I86" s="89" t="s">
        <v>399</v>
      </c>
      <c r="J86" s="89" t="s">
        <v>400</v>
      </c>
      <c r="K86" s="89" t="s">
        <v>127</v>
      </c>
      <c r="L86" s="89" t="s">
        <v>82</v>
      </c>
      <c r="M86" s="89" t="s">
        <v>94</v>
      </c>
      <c r="N86" s="89" t="s">
        <v>880</v>
      </c>
      <c r="O86" s="89" t="s">
        <v>802</v>
      </c>
    </row>
    <row r="87" spans="1:15" ht="20.399999999999999" x14ac:dyDescent="0.3">
      <c r="A87" s="88">
        <v>89</v>
      </c>
      <c r="B87" s="89" t="s">
        <v>79</v>
      </c>
      <c r="C87" s="236" t="s">
        <v>168</v>
      </c>
      <c r="D87" s="236"/>
      <c r="E87" s="89" t="s">
        <v>122</v>
      </c>
      <c r="F87" s="89"/>
      <c r="G87" s="89"/>
      <c r="H87" s="89"/>
      <c r="I87" s="89" t="s">
        <v>401</v>
      </c>
      <c r="J87" s="89" t="s">
        <v>402</v>
      </c>
      <c r="K87" s="89" t="s">
        <v>127</v>
      </c>
      <c r="L87" s="89" t="s">
        <v>82</v>
      </c>
      <c r="M87" s="89" t="s">
        <v>94</v>
      </c>
      <c r="N87" s="89" t="s">
        <v>881</v>
      </c>
      <c r="O87" s="89" t="s">
        <v>802</v>
      </c>
    </row>
    <row r="88" spans="1:15" ht="20.399999999999999" x14ac:dyDescent="0.3">
      <c r="A88" s="88">
        <v>90</v>
      </c>
      <c r="B88" s="89" t="s">
        <v>79</v>
      </c>
      <c r="C88" s="236" t="s">
        <v>168</v>
      </c>
      <c r="D88" s="236"/>
      <c r="E88" s="89" t="s">
        <v>122</v>
      </c>
      <c r="F88" s="89"/>
      <c r="G88" s="89"/>
      <c r="H88" s="89"/>
      <c r="I88" s="89" t="s">
        <v>403</v>
      </c>
      <c r="J88" s="89" t="s">
        <v>404</v>
      </c>
      <c r="K88" s="89" t="s">
        <v>127</v>
      </c>
      <c r="L88" s="89" t="s">
        <v>82</v>
      </c>
      <c r="M88" s="89" t="s">
        <v>94</v>
      </c>
      <c r="N88" s="89" t="s">
        <v>848</v>
      </c>
      <c r="O88" s="89" t="s">
        <v>802</v>
      </c>
    </row>
    <row r="89" spans="1:15" ht="20.399999999999999" x14ac:dyDescent="0.3">
      <c r="A89" s="88">
        <v>91</v>
      </c>
      <c r="B89" s="89" t="s">
        <v>79</v>
      </c>
      <c r="C89" s="236" t="s">
        <v>168</v>
      </c>
      <c r="D89" s="236"/>
      <c r="E89" s="89" t="s">
        <v>122</v>
      </c>
      <c r="F89" s="89"/>
      <c r="G89" s="89"/>
      <c r="H89" s="89"/>
      <c r="I89" s="89" t="s">
        <v>422</v>
      </c>
      <c r="J89" s="89" t="s">
        <v>423</v>
      </c>
      <c r="K89" s="89" t="s">
        <v>120</v>
      </c>
      <c r="L89" s="89" t="s">
        <v>82</v>
      </c>
      <c r="M89" s="89" t="s">
        <v>114</v>
      </c>
      <c r="N89" s="89" t="s">
        <v>882</v>
      </c>
      <c r="O89" s="89" t="s">
        <v>802</v>
      </c>
    </row>
    <row r="90" spans="1:15" ht="20.399999999999999" x14ac:dyDescent="0.3">
      <c r="A90" s="88">
        <v>92</v>
      </c>
      <c r="B90" s="89" t="s">
        <v>79</v>
      </c>
      <c r="C90" s="236" t="s">
        <v>168</v>
      </c>
      <c r="D90" s="236"/>
      <c r="E90" s="89" t="s">
        <v>122</v>
      </c>
      <c r="F90" s="89"/>
      <c r="G90" s="89"/>
      <c r="H90" s="89"/>
      <c r="I90" s="89" t="s">
        <v>405</v>
      </c>
      <c r="J90" s="89" t="s">
        <v>406</v>
      </c>
      <c r="K90" s="89" t="s">
        <v>407</v>
      </c>
      <c r="L90" s="89" t="s">
        <v>82</v>
      </c>
      <c r="M90" s="89" t="s">
        <v>87</v>
      </c>
      <c r="N90" s="89" t="s">
        <v>883</v>
      </c>
      <c r="O90" s="89" t="s">
        <v>802</v>
      </c>
    </row>
    <row r="91" spans="1:15" ht="20.399999999999999" x14ac:dyDescent="0.3">
      <c r="A91" s="88">
        <v>93</v>
      </c>
      <c r="B91" s="89" t="s">
        <v>79</v>
      </c>
      <c r="C91" s="236" t="s">
        <v>168</v>
      </c>
      <c r="D91" s="236"/>
      <c r="E91" s="89" t="s">
        <v>122</v>
      </c>
      <c r="F91" s="89"/>
      <c r="G91" s="89"/>
      <c r="H91" s="89"/>
      <c r="I91" s="89" t="s">
        <v>408</v>
      </c>
      <c r="J91" s="89" t="s">
        <v>409</v>
      </c>
      <c r="K91" s="89" t="s">
        <v>410</v>
      </c>
      <c r="L91" s="89" t="s">
        <v>82</v>
      </c>
      <c r="M91" s="89" t="s">
        <v>94</v>
      </c>
      <c r="N91" s="89" t="s">
        <v>884</v>
      </c>
      <c r="O91" s="89" t="s">
        <v>802</v>
      </c>
    </row>
    <row r="92" spans="1:15" ht="20.399999999999999" x14ac:dyDescent="0.3">
      <c r="A92" s="88">
        <v>94</v>
      </c>
      <c r="B92" s="89" t="s">
        <v>79</v>
      </c>
      <c r="C92" s="236" t="s">
        <v>168</v>
      </c>
      <c r="D92" s="236"/>
      <c r="E92" s="89" t="s">
        <v>122</v>
      </c>
      <c r="F92" s="89"/>
      <c r="G92" s="89"/>
      <c r="H92" s="89"/>
      <c r="I92" s="89" t="s">
        <v>411</v>
      </c>
      <c r="J92" s="89" t="s">
        <v>412</v>
      </c>
      <c r="K92" s="89" t="s">
        <v>410</v>
      </c>
      <c r="L92" s="89" t="s">
        <v>82</v>
      </c>
      <c r="M92" s="89" t="s">
        <v>94</v>
      </c>
      <c r="N92" s="89" t="s">
        <v>885</v>
      </c>
      <c r="O92" s="89" t="s">
        <v>841</v>
      </c>
    </row>
    <row r="93" spans="1:15" ht="20.399999999999999" x14ac:dyDescent="0.3">
      <c r="A93" s="88">
        <v>95</v>
      </c>
      <c r="B93" s="89" t="s">
        <v>79</v>
      </c>
      <c r="C93" s="236" t="s">
        <v>168</v>
      </c>
      <c r="D93" s="236"/>
      <c r="E93" s="89" t="s">
        <v>122</v>
      </c>
      <c r="F93" s="89"/>
      <c r="G93" s="89"/>
      <c r="H93" s="89"/>
      <c r="I93" s="89" t="s">
        <v>417</v>
      </c>
      <c r="J93" s="89" t="s">
        <v>418</v>
      </c>
      <c r="K93" s="89" t="s">
        <v>410</v>
      </c>
      <c r="L93" s="89" t="s">
        <v>82</v>
      </c>
      <c r="M93" s="89" t="s">
        <v>94</v>
      </c>
      <c r="N93" s="89" t="s">
        <v>813</v>
      </c>
      <c r="O93" s="89" t="s">
        <v>802</v>
      </c>
    </row>
    <row r="94" spans="1:15" ht="20.399999999999999" x14ac:dyDescent="0.3">
      <c r="A94" s="88">
        <v>96</v>
      </c>
      <c r="B94" s="89" t="s">
        <v>79</v>
      </c>
      <c r="C94" s="236" t="s">
        <v>168</v>
      </c>
      <c r="D94" s="236"/>
      <c r="E94" s="89" t="s">
        <v>122</v>
      </c>
      <c r="F94" s="89"/>
      <c r="G94" s="89"/>
      <c r="H94" s="89"/>
      <c r="I94" s="89" t="s">
        <v>419</v>
      </c>
      <c r="J94" s="89" t="s">
        <v>420</v>
      </c>
      <c r="K94" s="89" t="s">
        <v>421</v>
      </c>
      <c r="L94" s="89" t="s">
        <v>82</v>
      </c>
      <c r="M94" s="89" t="s">
        <v>123</v>
      </c>
      <c r="N94" s="89" t="s">
        <v>886</v>
      </c>
      <c r="O94" s="89" t="s">
        <v>802</v>
      </c>
    </row>
    <row r="95" spans="1:15" ht="20.399999999999999" x14ac:dyDescent="0.3">
      <c r="A95" s="88">
        <v>97</v>
      </c>
      <c r="B95" s="89" t="s">
        <v>79</v>
      </c>
      <c r="C95" s="236" t="s">
        <v>168</v>
      </c>
      <c r="D95" s="236"/>
      <c r="E95" s="89" t="s">
        <v>122</v>
      </c>
      <c r="F95" s="89"/>
      <c r="G95" s="89"/>
      <c r="H95" s="89"/>
      <c r="I95" s="89" t="s">
        <v>425</v>
      </c>
      <c r="J95" s="89" t="s">
        <v>426</v>
      </c>
      <c r="K95" s="89" t="s">
        <v>424</v>
      </c>
      <c r="L95" s="89" t="s">
        <v>82</v>
      </c>
      <c r="M95" s="89" t="s">
        <v>94</v>
      </c>
      <c r="N95" s="89" t="s">
        <v>887</v>
      </c>
      <c r="O95" s="89" t="s">
        <v>802</v>
      </c>
    </row>
    <row r="96" spans="1:15" ht="20.399999999999999" x14ac:dyDescent="0.3">
      <c r="A96" s="88">
        <v>98</v>
      </c>
      <c r="B96" s="89" t="s">
        <v>79</v>
      </c>
      <c r="C96" s="236" t="s">
        <v>168</v>
      </c>
      <c r="D96" s="236"/>
      <c r="E96" s="89" t="s">
        <v>122</v>
      </c>
      <c r="F96" s="89"/>
      <c r="G96" s="89"/>
      <c r="H96" s="89"/>
      <c r="I96" s="89" t="s">
        <v>427</v>
      </c>
      <c r="J96" s="89" t="s">
        <v>428</v>
      </c>
      <c r="K96" s="89" t="s">
        <v>424</v>
      </c>
      <c r="L96" s="89" t="s">
        <v>82</v>
      </c>
      <c r="M96" s="89" t="s">
        <v>94</v>
      </c>
      <c r="N96" s="89" t="s">
        <v>888</v>
      </c>
      <c r="O96" s="89" t="s">
        <v>802</v>
      </c>
    </row>
    <row r="97" spans="1:15" ht="20.399999999999999" x14ac:dyDescent="0.3">
      <c r="A97" s="88">
        <v>99</v>
      </c>
      <c r="B97" s="89" t="s">
        <v>79</v>
      </c>
      <c r="C97" s="236" t="s">
        <v>168</v>
      </c>
      <c r="D97" s="236"/>
      <c r="E97" s="89" t="s">
        <v>122</v>
      </c>
      <c r="F97" s="89"/>
      <c r="G97" s="89"/>
      <c r="H97" s="89"/>
      <c r="I97" s="89" t="s">
        <v>429</v>
      </c>
      <c r="J97" s="89" t="s">
        <v>430</v>
      </c>
      <c r="K97" s="89" t="s">
        <v>431</v>
      </c>
      <c r="L97" s="89" t="s">
        <v>82</v>
      </c>
      <c r="M97" s="89"/>
      <c r="N97" s="89" t="s">
        <v>848</v>
      </c>
      <c r="O97" s="89" t="s">
        <v>802</v>
      </c>
    </row>
    <row r="98" spans="1:15" ht="20.399999999999999" x14ac:dyDescent="0.3">
      <c r="A98" s="88">
        <v>100</v>
      </c>
      <c r="B98" s="89" t="s">
        <v>79</v>
      </c>
      <c r="C98" s="236" t="s">
        <v>168</v>
      </c>
      <c r="D98" s="236"/>
      <c r="E98" s="89" t="s">
        <v>122</v>
      </c>
      <c r="F98" s="89" t="s">
        <v>432</v>
      </c>
      <c r="G98" s="89"/>
      <c r="H98" s="89"/>
      <c r="I98" s="89" t="s">
        <v>433</v>
      </c>
      <c r="J98" s="89" t="s">
        <v>434</v>
      </c>
      <c r="K98" s="89" t="s">
        <v>124</v>
      </c>
      <c r="L98" s="89" t="s">
        <v>82</v>
      </c>
      <c r="M98" s="89" t="s">
        <v>87</v>
      </c>
      <c r="N98" s="89" t="s">
        <v>875</v>
      </c>
      <c r="O98" s="89" t="s">
        <v>802</v>
      </c>
    </row>
    <row r="99" spans="1:15" ht="20.399999999999999" x14ac:dyDescent="0.3">
      <c r="A99" s="88">
        <v>101</v>
      </c>
      <c r="B99" s="89" t="s">
        <v>79</v>
      </c>
      <c r="C99" s="236" t="s">
        <v>168</v>
      </c>
      <c r="D99" s="236"/>
      <c r="E99" s="89" t="s">
        <v>122</v>
      </c>
      <c r="F99" s="89" t="s">
        <v>432</v>
      </c>
      <c r="G99" s="89"/>
      <c r="H99" s="89"/>
      <c r="I99" s="89" t="s">
        <v>786</v>
      </c>
      <c r="J99" s="89" t="s">
        <v>423</v>
      </c>
      <c r="K99" s="89" t="s">
        <v>120</v>
      </c>
      <c r="L99" s="89" t="s">
        <v>82</v>
      </c>
      <c r="M99" s="89" t="s">
        <v>114</v>
      </c>
      <c r="N99" s="89" t="s">
        <v>889</v>
      </c>
      <c r="O99" s="89" t="s">
        <v>802</v>
      </c>
    </row>
    <row r="100" spans="1:15" ht="20.399999999999999" x14ac:dyDescent="0.3">
      <c r="A100" s="88">
        <v>102</v>
      </c>
      <c r="B100" s="89" t="s">
        <v>79</v>
      </c>
      <c r="C100" s="236" t="s">
        <v>168</v>
      </c>
      <c r="D100" s="236"/>
      <c r="E100" s="89" t="s">
        <v>122</v>
      </c>
      <c r="F100" s="89" t="s">
        <v>432</v>
      </c>
      <c r="G100" s="89"/>
      <c r="H100" s="89"/>
      <c r="I100" s="89" t="s">
        <v>435</v>
      </c>
      <c r="J100" s="89" t="s">
        <v>436</v>
      </c>
      <c r="K100" s="89" t="s">
        <v>437</v>
      </c>
      <c r="L100" s="89" t="s">
        <v>82</v>
      </c>
      <c r="M100" s="89"/>
      <c r="N100" s="89" t="s">
        <v>890</v>
      </c>
      <c r="O100" s="89" t="s">
        <v>802</v>
      </c>
    </row>
    <row r="101" spans="1:15" ht="20.399999999999999" x14ac:dyDescent="0.3">
      <c r="A101" s="88">
        <v>103</v>
      </c>
      <c r="B101" s="89" t="s">
        <v>79</v>
      </c>
      <c r="C101" s="236" t="s">
        <v>168</v>
      </c>
      <c r="D101" s="236"/>
      <c r="E101" s="89" t="s">
        <v>122</v>
      </c>
      <c r="F101" s="89" t="s">
        <v>438</v>
      </c>
      <c r="G101" s="89"/>
      <c r="H101" s="89"/>
      <c r="I101" s="89" t="s">
        <v>439</v>
      </c>
      <c r="J101" s="89" t="s">
        <v>440</v>
      </c>
      <c r="K101" s="89" t="s">
        <v>441</v>
      </c>
      <c r="L101" s="89" t="s">
        <v>312</v>
      </c>
      <c r="M101" s="89" t="s">
        <v>123</v>
      </c>
      <c r="N101" s="89" t="s">
        <v>891</v>
      </c>
      <c r="O101" s="89" t="s">
        <v>802</v>
      </c>
    </row>
    <row r="102" spans="1:15" ht="20.399999999999999" x14ac:dyDescent="0.3">
      <c r="A102" s="88">
        <v>104</v>
      </c>
      <c r="B102" s="89" t="s">
        <v>79</v>
      </c>
      <c r="C102" s="236" t="s">
        <v>168</v>
      </c>
      <c r="D102" s="236"/>
      <c r="E102" s="89" t="s">
        <v>122</v>
      </c>
      <c r="F102" s="89" t="s">
        <v>438</v>
      </c>
      <c r="G102" s="89"/>
      <c r="H102" s="89"/>
      <c r="I102" s="89" t="s">
        <v>442</v>
      </c>
      <c r="J102" s="89" t="s">
        <v>443</v>
      </c>
      <c r="K102" s="89" t="s">
        <v>441</v>
      </c>
      <c r="L102" s="89" t="s">
        <v>312</v>
      </c>
      <c r="M102" s="89" t="s">
        <v>123</v>
      </c>
      <c r="N102" s="89" t="s">
        <v>892</v>
      </c>
      <c r="O102" s="89" t="s">
        <v>802</v>
      </c>
    </row>
    <row r="103" spans="1:15" ht="20.399999999999999" x14ac:dyDescent="0.3">
      <c r="A103" s="88">
        <v>105</v>
      </c>
      <c r="B103" s="89" t="s">
        <v>79</v>
      </c>
      <c r="C103" s="236" t="s">
        <v>168</v>
      </c>
      <c r="D103" s="236"/>
      <c r="E103" s="89" t="s">
        <v>122</v>
      </c>
      <c r="F103" s="89" t="s">
        <v>438</v>
      </c>
      <c r="G103" s="89"/>
      <c r="H103" s="89"/>
      <c r="I103" s="89" t="s">
        <v>444</v>
      </c>
      <c r="J103" s="89" t="s">
        <v>445</v>
      </c>
      <c r="K103" s="89" t="s">
        <v>441</v>
      </c>
      <c r="L103" s="89" t="s">
        <v>312</v>
      </c>
      <c r="M103" s="89" t="s">
        <v>123</v>
      </c>
      <c r="N103" s="89" t="s">
        <v>892</v>
      </c>
      <c r="O103" s="89" t="s">
        <v>830</v>
      </c>
    </row>
    <row r="104" spans="1:15" ht="20.399999999999999" x14ac:dyDescent="0.3">
      <c r="A104" s="88">
        <v>106</v>
      </c>
      <c r="B104" s="89" t="s">
        <v>79</v>
      </c>
      <c r="C104" s="236" t="s">
        <v>168</v>
      </c>
      <c r="D104" s="236"/>
      <c r="E104" s="89" t="s">
        <v>122</v>
      </c>
      <c r="F104" s="89" t="s">
        <v>438</v>
      </c>
      <c r="G104" s="89"/>
      <c r="H104" s="89"/>
      <c r="I104" s="89" t="s">
        <v>446</v>
      </c>
      <c r="J104" s="89" t="s">
        <v>447</v>
      </c>
      <c r="K104" s="89" t="s">
        <v>441</v>
      </c>
      <c r="L104" s="89" t="s">
        <v>312</v>
      </c>
      <c r="M104" s="89" t="s">
        <v>123</v>
      </c>
      <c r="N104" s="89" t="s">
        <v>814</v>
      </c>
      <c r="O104" s="89" t="s">
        <v>802</v>
      </c>
    </row>
    <row r="105" spans="1:15" ht="20.399999999999999" x14ac:dyDescent="0.3">
      <c r="A105" s="88">
        <v>107</v>
      </c>
      <c r="B105" s="89" t="s">
        <v>79</v>
      </c>
      <c r="C105" s="236" t="s">
        <v>168</v>
      </c>
      <c r="D105" s="236"/>
      <c r="E105" s="89" t="s">
        <v>122</v>
      </c>
      <c r="F105" s="89" t="s">
        <v>438</v>
      </c>
      <c r="G105" s="89"/>
      <c r="H105" s="89"/>
      <c r="I105" s="89" t="s">
        <v>448</v>
      </c>
      <c r="J105" s="89" t="s">
        <v>449</v>
      </c>
      <c r="K105" s="89" t="s">
        <v>441</v>
      </c>
      <c r="L105" s="89" t="s">
        <v>312</v>
      </c>
      <c r="M105" s="89" t="s">
        <v>123</v>
      </c>
      <c r="N105" s="89" t="s">
        <v>893</v>
      </c>
      <c r="O105" s="89" t="s">
        <v>802</v>
      </c>
    </row>
    <row r="106" spans="1:15" ht="20.399999999999999" x14ac:dyDescent="0.3">
      <c r="A106" s="88">
        <v>108</v>
      </c>
      <c r="B106" s="89" t="s">
        <v>79</v>
      </c>
      <c r="C106" s="236" t="s">
        <v>168</v>
      </c>
      <c r="D106" s="236"/>
      <c r="E106" s="89" t="s">
        <v>122</v>
      </c>
      <c r="F106" s="89" t="s">
        <v>438</v>
      </c>
      <c r="G106" s="89"/>
      <c r="H106" s="89"/>
      <c r="I106" s="89" t="s">
        <v>450</v>
      </c>
      <c r="J106" s="89" t="s">
        <v>451</v>
      </c>
      <c r="K106" s="89" t="s">
        <v>441</v>
      </c>
      <c r="L106" s="89" t="s">
        <v>312</v>
      </c>
      <c r="M106" s="89" t="s">
        <v>123</v>
      </c>
      <c r="N106" s="89" t="s">
        <v>894</v>
      </c>
      <c r="O106" s="89" t="s">
        <v>802</v>
      </c>
    </row>
    <row r="107" spans="1:15" ht="20.399999999999999" x14ac:dyDescent="0.3">
      <c r="A107" s="88">
        <v>109</v>
      </c>
      <c r="B107" s="89" t="s">
        <v>79</v>
      </c>
      <c r="C107" s="236" t="s">
        <v>168</v>
      </c>
      <c r="D107" s="236"/>
      <c r="E107" s="89" t="s">
        <v>122</v>
      </c>
      <c r="F107" s="89" t="s">
        <v>438</v>
      </c>
      <c r="G107" s="89"/>
      <c r="H107" s="89"/>
      <c r="I107" s="89" t="s">
        <v>452</v>
      </c>
      <c r="J107" s="89" t="s">
        <v>453</v>
      </c>
      <c r="K107" s="89" t="s">
        <v>441</v>
      </c>
      <c r="L107" s="89" t="s">
        <v>312</v>
      </c>
      <c r="M107" s="89" t="s">
        <v>123</v>
      </c>
      <c r="N107" s="89" t="s">
        <v>892</v>
      </c>
      <c r="O107" s="89" t="s">
        <v>802</v>
      </c>
    </row>
    <row r="108" spans="1:15" ht="20.399999999999999" x14ac:dyDescent="0.3">
      <c r="A108" s="88">
        <v>110</v>
      </c>
      <c r="B108" s="89" t="s">
        <v>79</v>
      </c>
      <c r="C108" s="236" t="s">
        <v>168</v>
      </c>
      <c r="D108" s="236"/>
      <c r="E108" s="89" t="s">
        <v>122</v>
      </c>
      <c r="F108" s="89" t="s">
        <v>438</v>
      </c>
      <c r="G108" s="89"/>
      <c r="H108" s="89"/>
      <c r="I108" s="89" t="s">
        <v>454</v>
      </c>
      <c r="J108" s="89" t="s">
        <v>455</v>
      </c>
      <c r="K108" s="89" t="s">
        <v>441</v>
      </c>
      <c r="L108" s="89" t="s">
        <v>312</v>
      </c>
      <c r="M108" s="89" t="s">
        <v>123</v>
      </c>
      <c r="N108" s="89" t="s">
        <v>803</v>
      </c>
      <c r="O108" s="89" t="s">
        <v>895</v>
      </c>
    </row>
    <row r="109" spans="1:15" ht="20.399999999999999" x14ac:dyDescent="0.3">
      <c r="A109" s="88">
        <v>111</v>
      </c>
      <c r="B109" s="89" t="s">
        <v>79</v>
      </c>
      <c r="C109" s="236" t="s">
        <v>168</v>
      </c>
      <c r="D109" s="236"/>
      <c r="E109" s="89" t="s">
        <v>122</v>
      </c>
      <c r="F109" s="89" t="s">
        <v>438</v>
      </c>
      <c r="G109" s="89"/>
      <c r="H109" s="89"/>
      <c r="I109" s="89" t="s">
        <v>456</v>
      </c>
      <c r="J109" s="89" t="s">
        <v>457</v>
      </c>
      <c r="K109" s="89" t="s">
        <v>441</v>
      </c>
      <c r="L109" s="89" t="s">
        <v>312</v>
      </c>
      <c r="M109" s="89" t="s">
        <v>123</v>
      </c>
      <c r="N109" s="89" t="s">
        <v>896</v>
      </c>
      <c r="O109" s="89" t="s">
        <v>802</v>
      </c>
    </row>
    <row r="110" spans="1:15" ht="20.399999999999999" x14ac:dyDescent="0.3">
      <c r="A110" s="88">
        <v>112</v>
      </c>
      <c r="B110" s="89" t="s">
        <v>79</v>
      </c>
      <c r="C110" s="236" t="s">
        <v>168</v>
      </c>
      <c r="D110" s="236"/>
      <c r="E110" s="89" t="s">
        <v>122</v>
      </c>
      <c r="F110" s="89" t="s">
        <v>438</v>
      </c>
      <c r="G110" s="89"/>
      <c r="H110" s="89"/>
      <c r="I110" s="89" t="s">
        <v>458</v>
      </c>
      <c r="J110" s="89" t="s">
        <v>459</v>
      </c>
      <c r="K110" s="89" t="s">
        <v>441</v>
      </c>
      <c r="L110" s="89" t="s">
        <v>312</v>
      </c>
      <c r="M110" s="89" t="s">
        <v>123</v>
      </c>
      <c r="N110" s="89" t="s">
        <v>803</v>
      </c>
      <c r="O110" s="89" t="s">
        <v>895</v>
      </c>
    </row>
    <row r="111" spans="1:15" ht="20.399999999999999" x14ac:dyDescent="0.3">
      <c r="A111" s="88">
        <v>113</v>
      </c>
      <c r="B111" s="89" t="s">
        <v>79</v>
      </c>
      <c r="C111" s="236" t="s">
        <v>168</v>
      </c>
      <c r="D111" s="236"/>
      <c r="E111" s="89" t="s">
        <v>122</v>
      </c>
      <c r="F111" s="89" t="s">
        <v>438</v>
      </c>
      <c r="G111" s="89"/>
      <c r="H111" s="89"/>
      <c r="I111" s="89" t="s">
        <v>460</v>
      </c>
      <c r="J111" s="89" t="s">
        <v>461</v>
      </c>
      <c r="K111" s="89" t="s">
        <v>441</v>
      </c>
      <c r="L111" s="89" t="s">
        <v>312</v>
      </c>
      <c r="M111" s="89" t="s">
        <v>123</v>
      </c>
      <c r="N111" s="89" t="s">
        <v>891</v>
      </c>
      <c r="O111" s="89" t="s">
        <v>802</v>
      </c>
    </row>
    <row r="112" spans="1:15" ht="20.399999999999999" x14ac:dyDescent="0.3">
      <c r="A112" s="88">
        <v>114</v>
      </c>
      <c r="B112" s="89" t="s">
        <v>79</v>
      </c>
      <c r="C112" s="236" t="s">
        <v>168</v>
      </c>
      <c r="D112" s="236"/>
      <c r="E112" s="89" t="s">
        <v>122</v>
      </c>
      <c r="F112" s="89" t="s">
        <v>438</v>
      </c>
      <c r="G112" s="89"/>
      <c r="H112" s="89"/>
      <c r="I112" s="89" t="s">
        <v>462</v>
      </c>
      <c r="J112" s="89" t="s">
        <v>463</v>
      </c>
      <c r="K112" s="89" t="s">
        <v>441</v>
      </c>
      <c r="L112" s="89" t="s">
        <v>312</v>
      </c>
      <c r="M112" s="89" t="s">
        <v>123</v>
      </c>
      <c r="N112" s="89" t="s">
        <v>803</v>
      </c>
      <c r="O112" s="89" t="s">
        <v>802</v>
      </c>
    </row>
    <row r="113" spans="1:15" ht="20.399999999999999" x14ac:dyDescent="0.3">
      <c r="A113" s="88">
        <v>115</v>
      </c>
      <c r="B113" s="89" t="s">
        <v>79</v>
      </c>
      <c r="C113" s="236" t="s">
        <v>168</v>
      </c>
      <c r="D113" s="236"/>
      <c r="E113" s="89" t="s">
        <v>122</v>
      </c>
      <c r="F113" s="89" t="s">
        <v>438</v>
      </c>
      <c r="G113" s="89"/>
      <c r="H113" s="89"/>
      <c r="I113" s="89" t="s">
        <v>464</v>
      </c>
      <c r="J113" s="89" t="s">
        <v>465</v>
      </c>
      <c r="K113" s="89" t="s">
        <v>441</v>
      </c>
      <c r="L113" s="89" t="s">
        <v>312</v>
      </c>
      <c r="M113" s="89" t="s">
        <v>123</v>
      </c>
      <c r="N113" s="89" t="s">
        <v>892</v>
      </c>
      <c r="O113" s="89" t="s">
        <v>802</v>
      </c>
    </row>
    <row r="114" spans="1:15" ht="20.399999999999999" x14ac:dyDescent="0.3">
      <c r="A114" s="88">
        <v>116</v>
      </c>
      <c r="B114" s="89" t="s">
        <v>79</v>
      </c>
      <c r="C114" s="236" t="s">
        <v>168</v>
      </c>
      <c r="D114" s="236"/>
      <c r="E114" s="89" t="s">
        <v>122</v>
      </c>
      <c r="F114" s="89" t="s">
        <v>438</v>
      </c>
      <c r="G114" s="89"/>
      <c r="H114" s="89"/>
      <c r="I114" s="89" t="s">
        <v>466</v>
      </c>
      <c r="J114" s="89" t="s">
        <v>467</v>
      </c>
      <c r="K114" s="89" t="s">
        <v>441</v>
      </c>
      <c r="L114" s="89" t="s">
        <v>312</v>
      </c>
      <c r="M114" s="89" t="s">
        <v>123</v>
      </c>
      <c r="N114" s="89" t="s">
        <v>897</v>
      </c>
      <c r="O114" s="89" t="s">
        <v>830</v>
      </c>
    </row>
    <row r="115" spans="1:15" ht="20.399999999999999" x14ac:dyDescent="0.3">
      <c r="A115" s="88">
        <v>117</v>
      </c>
      <c r="B115" s="89" t="s">
        <v>79</v>
      </c>
      <c r="C115" s="236" t="s">
        <v>168</v>
      </c>
      <c r="D115" s="236"/>
      <c r="E115" s="89" t="s">
        <v>122</v>
      </c>
      <c r="F115" s="89" t="s">
        <v>438</v>
      </c>
      <c r="G115" s="89"/>
      <c r="H115" s="89"/>
      <c r="I115" s="89" t="s">
        <v>468</v>
      </c>
      <c r="J115" s="89" t="s">
        <v>469</v>
      </c>
      <c r="K115" s="89" t="s">
        <v>441</v>
      </c>
      <c r="L115" s="89" t="s">
        <v>312</v>
      </c>
      <c r="M115" s="89" t="s">
        <v>123</v>
      </c>
      <c r="N115" s="89" t="s">
        <v>898</v>
      </c>
      <c r="O115" s="89" t="s">
        <v>802</v>
      </c>
    </row>
    <row r="116" spans="1:15" ht="20.399999999999999" x14ac:dyDescent="0.3">
      <c r="A116" s="88">
        <v>118</v>
      </c>
      <c r="B116" s="89" t="s">
        <v>79</v>
      </c>
      <c r="C116" s="236" t="s">
        <v>168</v>
      </c>
      <c r="D116" s="236"/>
      <c r="E116" s="89" t="s">
        <v>122</v>
      </c>
      <c r="F116" s="89" t="s">
        <v>438</v>
      </c>
      <c r="G116" s="89"/>
      <c r="H116" s="89"/>
      <c r="I116" s="89" t="s">
        <v>470</v>
      </c>
      <c r="J116" s="89" t="s">
        <v>471</v>
      </c>
      <c r="K116" s="89" t="s">
        <v>441</v>
      </c>
      <c r="L116" s="89" t="s">
        <v>312</v>
      </c>
      <c r="M116" s="89" t="s">
        <v>123</v>
      </c>
      <c r="N116" s="89" t="s">
        <v>899</v>
      </c>
      <c r="O116" s="89" t="s">
        <v>802</v>
      </c>
    </row>
    <row r="117" spans="1:15" ht="20.399999999999999" x14ac:dyDescent="0.3">
      <c r="A117" s="88">
        <v>119</v>
      </c>
      <c r="B117" s="89" t="s">
        <v>79</v>
      </c>
      <c r="C117" s="236" t="s">
        <v>168</v>
      </c>
      <c r="D117" s="236"/>
      <c r="E117" s="89" t="s">
        <v>122</v>
      </c>
      <c r="F117" s="89" t="s">
        <v>438</v>
      </c>
      <c r="G117" s="89"/>
      <c r="H117" s="89"/>
      <c r="I117" s="89" t="s">
        <v>472</v>
      </c>
      <c r="J117" s="89" t="s">
        <v>473</v>
      </c>
      <c r="K117" s="89" t="s">
        <v>441</v>
      </c>
      <c r="L117" s="89" t="s">
        <v>312</v>
      </c>
      <c r="M117" s="89" t="s">
        <v>123</v>
      </c>
      <c r="N117" s="89" t="s">
        <v>892</v>
      </c>
      <c r="O117" s="89" t="s">
        <v>802</v>
      </c>
    </row>
    <row r="118" spans="1:15" ht="20.399999999999999" x14ac:dyDescent="0.3">
      <c r="A118" s="88">
        <v>120</v>
      </c>
      <c r="B118" s="89" t="s">
        <v>79</v>
      </c>
      <c r="C118" s="236" t="s">
        <v>168</v>
      </c>
      <c r="D118" s="236"/>
      <c r="E118" s="89" t="s">
        <v>122</v>
      </c>
      <c r="F118" s="89" t="s">
        <v>438</v>
      </c>
      <c r="G118" s="89"/>
      <c r="H118" s="89"/>
      <c r="I118" s="89" t="s">
        <v>474</v>
      </c>
      <c r="J118" s="89" t="s">
        <v>475</v>
      </c>
      <c r="K118" s="89" t="s">
        <v>441</v>
      </c>
      <c r="L118" s="89" t="s">
        <v>312</v>
      </c>
      <c r="M118" s="89" t="s">
        <v>123</v>
      </c>
      <c r="N118" s="89" t="s">
        <v>900</v>
      </c>
      <c r="O118" s="89" t="s">
        <v>802</v>
      </c>
    </row>
    <row r="119" spans="1:15" ht="20.399999999999999" x14ac:dyDescent="0.3">
      <c r="A119" s="88">
        <v>121</v>
      </c>
      <c r="B119" s="89" t="s">
        <v>79</v>
      </c>
      <c r="C119" s="236" t="s">
        <v>168</v>
      </c>
      <c r="D119" s="236"/>
      <c r="E119" s="89" t="s">
        <v>122</v>
      </c>
      <c r="F119" s="89" t="s">
        <v>438</v>
      </c>
      <c r="G119" s="89"/>
      <c r="H119" s="89"/>
      <c r="I119" s="89" t="s">
        <v>476</v>
      </c>
      <c r="J119" s="89" t="s">
        <v>477</v>
      </c>
      <c r="K119" s="89" t="s">
        <v>421</v>
      </c>
      <c r="L119" s="89" t="s">
        <v>312</v>
      </c>
      <c r="M119" s="89" t="s">
        <v>123</v>
      </c>
      <c r="N119" s="89" t="s">
        <v>901</v>
      </c>
      <c r="O119" s="89" t="s">
        <v>841</v>
      </c>
    </row>
    <row r="120" spans="1:15" x14ac:dyDescent="0.3">
      <c r="A120" s="88">
        <v>129</v>
      </c>
      <c r="B120" s="89" t="s">
        <v>79</v>
      </c>
      <c r="C120" s="236" t="s">
        <v>168</v>
      </c>
      <c r="D120" s="236"/>
      <c r="E120" s="89" t="s">
        <v>100</v>
      </c>
      <c r="F120" s="89"/>
      <c r="G120" s="89"/>
      <c r="H120" s="89"/>
      <c r="I120" s="89" t="s">
        <v>478</v>
      </c>
      <c r="J120" s="89" t="s">
        <v>479</v>
      </c>
      <c r="K120" s="89" t="s">
        <v>480</v>
      </c>
      <c r="L120" s="89" t="s">
        <v>84</v>
      </c>
      <c r="M120" s="89"/>
      <c r="N120" s="89" t="s">
        <v>903</v>
      </c>
      <c r="O120" s="89" t="s">
        <v>802</v>
      </c>
    </row>
    <row r="121" spans="1:15" x14ac:dyDescent="0.3">
      <c r="A121" s="88">
        <v>130</v>
      </c>
      <c r="B121" s="89" t="s">
        <v>79</v>
      </c>
      <c r="C121" s="236" t="s">
        <v>168</v>
      </c>
      <c r="D121" s="236"/>
      <c r="E121" s="89" t="s">
        <v>100</v>
      </c>
      <c r="F121" s="89" t="s">
        <v>481</v>
      </c>
      <c r="G121" s="89"/>
      <c r="H121" s="89"/>
      <c r="I121" s="89" t="s">
        <v>482</v>
      </c>
      <c r="J121" s="89" t="s">
        <v>483</v>
      </c>
      <c r="K121" s="89" t="s">
        <v>101</v>
      </c>
      <c r="L121" s="89" t="s">
        <v>484</v>
      </c>
      <c r="M121" s="89"/>
      <c r="N121" s="89" t="s">
        <v>904</v>
      </c>
      <c r="O121" s="89" t="s">
        <v>802</v>
      </c>
    </row>
    <row r="122" spans="1:15" x14ac:dyDescent="0.3">
      <c r="A122" s="88">
        <v>131</v>
      </c>
      <c r="B122" s="89" t="s">
        <v>79</v>
      </c>
      <c r="C122" s="236" t="s">
        <v>168</v>
      </c>
      <c r="D122" s="236"/>
      <c r="E122" s="89" t="s">
        <v>100</v>
      </c>
      <c r="F122" s="89" t="s">
        <v>481</v>
      </c>
      <c r="G122" s="89"/>
      <c r="H122" s="89"/>
      <c r="I122" s="89" t="s">
        <v>485</v>
      </c>
      <c r="J122" s="89" t="s">
        <v>486</v>
      </c>
      <c r="K122" s="89" t="s">
        <v>101</v>
      </c>
      <c r="L122" s="89" t="s">
        <v>484</v>
      </c>
      <c r="M122" s="89"/>
      <c r="N122" s="89" t="s">
        <v>905</v>
      </c>
      <c r="O122" s="89" t="s">
        <v>802</v>
      </c>
    </row>
    <row r="123" spans="1:15" x14ac:dyDescent="0.3">
      <c r="A123" s="88">
        <v>132</v>
      </c>
      <c r="B123" s="89" t="s">
        <v>79</v>
      </c>
      <c r="C123" s="236" t="s">
        <v>168</v>
      </c>
      <c r="D123" s="236"/>
      <c r="E123" s="89" t="s">
        <v>100</v>
      </c>
      <c r="F123" s="89" t="s">
        <v>481</v>
      </c>
      <c r="G123" s="89"/>
      <c r="H123" s="89"/>
      <c r="I123" s="89" t="s">
        <v>906</v>
      </c>
      <c r="J123" s="89" t="s">
        <v>907</v>
      </c>
      <c r="K123" s="89" t="s">
        <v>908</v>
      </c>
      <c r="L123" s="89" t="s">
        <v>484</v>
      </c>
      <c r="M123" s="89"/>
      <c r="N123" s="89" t="s">
        <v>909</v>
      </c>
      <c r="O123" s="89" t="s">
        <v>802</v>
      </c>
    </row>
    <row r="124" spans="1:15" ht="40.799999999999997" x14ac:dyDescent="0.3">
      <c r="A124" s="88">
        <v>133</v>
      </c>
      <c r="B124" s="89" t="s">
        <v>79</v>
      </c>
      <c r="C124" s="236" t="s">
        <v>168</v>
      </c>
      <c r="D124" s="236"/>
      <c r="E124" s="89" t="s">
        <v>100</v>
      </c>
      <c r="F124" s="89" t="s">
        <v>481</v>
      </c>
      <c r="G124" s="89"/>
      <c r="H124" s="89"/>
      <c r="I124" s="89" t="s">
        <v>564</v>
      </c>
      <c r="J124" s="89" t="s">
        <v>565</v>
      </c>
      <c r="K124" s="89" t="s">
        <v>102</v>
      </c>
      <c r="L124" s="89" t="s">
        <v>484</v>
      </c>
      <c r="M124" s="89" t="s">
        <v>90</v>
      </c>
      <c r="N124" s="89" t="s">
        <v>882</v>
      </c>
      <c r="O124" s="89" t="s">
        <v>802</v>
      </c>
    </row>
    <row r="125" spans="1:15" ht="40.799999999999997" x14ac:dyDescent="0.3">
      <c r="A125" s="88">
        <v>134</v>
      </c>
      <c r="B125" s="89" t="s">
        <v>79</v>
      </c>
      <c r="C125" s="236" t="s">
        <v>168</v>
      </c>
      <c r="D125" s="236"/>
      <c r="E125" s="89" t="s">
        <v>100</v>
      </c>
      <c r="F125" s="89" t="s">
        <v>481</v>
      </c>
      <c r="G125" s="89"/>
      <c r="H125" s="89"/>
      <c r="I125" s="89" t="s">
        <v>566</v>
      </c>
      <c r="J125" s="89" t="s">
        <v>567</v>
      </c>
      <c r="K125" s="89" t="s">
        <v>102</v>
      </c>
      <c r="L125" s="89" t="s">
        <v>484</v>
      </c>
      <c r="M125" s="89" t="s">
        <v>90</v>
      </c>
      <c r="N125" s="89" t="s">
        <v>820</v>
      </c>
      <c r="O125" s="89" t="s">
        <v>802</v>
      </c>
    </row>
    <row r="126" spans="1:15" ht="40.799999999999997" x14ac:dyDescent="0.3">
      <c r="A126" s="88">
        <v>135</v>
      </c>
      <c r="B126" s="89" t="s">
        <v>79</v>
      </c>
      <c r="C126" s="236" t="s">
        <v>168</v>
      </c>
      <c r="D126" s="236"/>
      <c r="E126" s="89" t="s">
        <v>100</v>
      </c>
      <c r="F126" s="89" t="s">
        <v>481</v>
      </c>
      <c r="G126" s="89"/>
      <c r="H126" s="89"/>
      <c r="I126" s="89" t="s">
        <v>568</v>
      </c>
      <c r="J126" s="89" t="s">
        <v>569</v>
      </c>
      <c r="K126" s="89" t="s">
        <v>102</v>
      </c>
      <c r="L126" s="89" t="s">
        <v>484</v>
      </c>
      <c r="M126" s="89" t="s">
        <v>90</v>
      </c>
      <c r="N126" s="89" t="s">
        <v>820</v>
      </c>
      <c r="O126" s="89" t="s">
        <v>802</v>
      </c>
    </row>
    <row r="127" spans="1:15" ht="40.799999999999997" x14ac:dyDescent="0.3">
      <c r="A127" s="88">
        <v>136</v>
      </c>
      <c r="B127" s="89" t="s">
        <v>79</v>
      </c>
      <c r="C127" s="236" t="s">
        <v>168</v>
      </c>
      <c r="D127" s="236"/>
      <c r="E127" s="89" t="s">
        <v>100</v>
      </c>
      <c r="F127" s="89" t="s">
        <v>481</v>
      </c>
      <c r="G127" s="89"/>
      <c r="H127" s="89"/>
      <c r="I127" s="89" t="s">
        <v>489</v>
      </c>
      <c r="J127" s="89" t="s">
        <v>490</v>
      </c>
      <c r="K127" s="89" t="s">
        <v>102</v>
      </c>
      <c r="L127" s="89" t="s">
        <v>484</v>
      </c>
      <c r="M127" s="89" t="s">
        <v>90</v>
      </c>
      <c r="N127" s="89" t="s">
        <v>910</v>
      </c>
      <c r="O127" s="89" t="s">
        <v>802</v>
      </c>
    </row>
    <row r="128" spans="1:15" ht="40.799999999999997" x14ac:dyDescent="0.3">
      <c r="A128" s="88">
        <v>137</v>
      </c>
      <c r="B128" s="89" t="s">
        <v>79</v>
      </c>
      <c r="C128" s="236" t="s">
        <v>168</v>
      </c>
      <c r="D128" s="236"/>
      <c r="E128" s="89" t="s">
        <v>100</v>
      </c>
      <c r="F128" s="89" t="s">
        <v>481</v>
      </c>
      <c r="G128" s="89"/>
      <c r="H128" s="89"/>
      <c r="I128" s="89" t="s">
        <v>491</v>
      </c>
      <c r="J128" s="89" t="s">
        <v>492</v>
      </c>
      <c r="K128" s="89" t="s">
        <v>102</v>
      </c>
      <c r="L128" s="89" t="s">
        <v>484</v>
      </c>
      <c r="M128" s="89" t="s">
        <v>90</v>
      </c>
      <c r="N128" s="89" t="s">
        <v>876</v>
      </c>
      <c r="O128" s="89" t="s">
        <v>802</v>
      </c>
    </row>
    <row r="129" spans="1:15" ht="40.799999999999997" x14ac:dyDescent="0.3">
      <c r="A129" s="88">
        <v>138</v>
      </c>
      <c r="B129" s="89" t="s">
        <v>79</v>
      </c>
      <c r="C129" s="236" t="s">
        <v>168</v>
      </c>
      <c r="D129" s="236"/>
      <c r="E129" s="89" t="s">
        <v>100</v>
      </c>
      <c r="F129" s="89" t="s">
        <v>481</v>
      </c>
      <c r="G129" s="89"/>
      <c r="H129" s="89"/>
      <c r="I129" s="89" t="s">
        <v>493</v>
      </c>
      <c r="J129" s="89" t="s">
        <v>494</v>
      </c>
      <c r="K129" s="89" t="s">
        <v>102</v>
      </c>
      <c r="L129" s="89" t="s">
        <v>484</v>
      </c>
      <c r="M129" s="89" t="s">
        <v>90</v>
      </c>
      <c r="N129" s="89" t="s">
        <v>911</v>
      </c>
      <c r="O129" s="89" t="s">
        <v>802</v>
      </c>
    </row>
    <row r="130" spans="1:15" ht="40.799999999999997" x14ac:dyDescent="0.3">
      <c r="A130" s="88">
        <v>139</v>
      </c>
      <c r="B130" s="89" t="s">
        <v>79</v>
      </c>
      <c r="C130" s="236" t="s">
        <v>168</v>
      </c>
      <c r="D130" s="236"/>
      <c r="E130" s="89" t="s">
        <v>100</v>
      </c>
      <c r="F130" s="89" t="s">
        <v>481</v>
      </c>
      <c r="G130" s="89"/>
      <c r="H130" s="89"/>
      <c r="I130" s="89" t="s">
        <v>495</v>
      </c>
      <c r="J130" s="89" t="s">
        <v>496</v>
      </c>
      <c r="K130" s="89" t="s">
        <v>102</v>
      </c>
      <c r="L130" s="89" t="s">
        <v>484</v>
      </c>
      <c r="M130" s="89" t="s">
        <v>90</v>
      </c>
      <c r="N130" s="89" t="s">
        <v>912</v>
      </c>
      <c r="O130" s="89" t="s">
        <v>802</v>
      </c>
    </row>
    <row r="131" spans="1:15" ht="40.799999999999997" x14ac:dyDescent="0.3">
      <c r="A131" s="88">
        <v>140</v>
      </c>
      <c r="B131" s="89" t="s">
        <v>79</v>
      </c>
      <c r="C131" s="236" t="s">
        <v>168</v>
      </c>
      <c r="D131" s="236"/>
      <c r="E131" s="89" t="s">
        <v>100</v>
      </c>
      <c r="F131" s="89" t="s">
        <v>481</v>
      </c>
      <c r="G131" s="89"/>
      <c r="H131" s="89"/>
      <c r="I131" s="89" t="s">
        <v>572</v>
      </c>
      <c r="J131" s="89" t="s">
        <v>573</v>
      </c>
      <c r="K131" s="89" t="s">
        <v>102</v>
      </c>
      <c r="L131" s="89" t="s">
        <v>484</v>
      </c>
      <c r="M131" s="89" t="s">
        <v>90</v>
      </c>
      <c r="N131" s="89" t="s">
        <v>832</v>
      </c>
      <c r="O131" s="89" t="s">
        <v>802</v>
      </c>
    </row>
    <row r="132" spans="1:15" ht="40.799999999999997" x14ac:dyDescent="0.3">
      <c r="A132" s="88">
        <v>141</v>
      </c>
      <c r="B132" s="89" t="s">
        <v>79</v>
      </c>
      <c r="C132" s="236" t="s">
        <v>168</v>
      </c>
      <c r="D132" s="236"/>
      <c r="E132" s="89" t="s">
        <v>100</v>
      </c>
      <c r="F132" s="89" t="s">
        <v>481</v>
      </c>
      <c r="G132" s="89"/>
      <c r="H132" s="89"/>
      <c r="I132" s="89" t="s">
        <v>497</v>
      </c>
      <c r="J132" s="89" t="s">
        <v>498</v>
      </c>
      <c r="K132" s="89" t="s">
        <v>102</v>
      </c>
      <c r="L132" s="89" t="s">
        <v>484</v>
      </c>
      <c r="M132" s="89" t="s">
        <v>90</v>
      </c>
      <c r="N132" s="89" t="s">
        <v>913</v>
      </c>
      <c r="O132" s="89" t="s">
        <v>802</v>
      </c>
    </row>
    <row r="133" spans="1:15" ht="40.799999999999997" x14ac:dyDescent="0.3">
      <c r="A133" s="88">
        <v>142</v>
      </c>
      <c r="B133" s="89" t="s">
        <v>79</v>
      </c>
      <c r="C133" s="236" t="s">
        <v>168</v>
      </c>
      <c r="D133" s="236"/>
      <c r="E133" s="89" t="s">
        <v>100</v>
      </c>
      <c r="F133" s="89" t="s">
        <v>481</v>
      </c>
      <c r="G133" s="89"/>
      <c r="H133" s="89"/>
      <c r="I133" s="89" t="s">
        <v>499</v>
      </c>
      <c r="J133" s="89" t="s">
        <v>500</v>
      </c>
      <c r="K133" s="89" t="s">
        <v>102</v>
      </c>
      <c r="L133" s="89" t="s">
        <v>484</v>
      </c>
      <c r="M133" s="89" t="s">
        <v>90</v>
      </c>
      <c r="N133" s="89" t="s">
        <v>848</v>
      </c>
      <c r="O133" s="89" t="s">
        <v>802</v>
      </c>
    </row>
    <row r="134" spans="1:15" ht="40.799999999999997" x14ac:dyDescent="0.3">
      <c r="A134" s="88">
        <v>143</v>
      </c>
      <c r="B134" s="89" t="s">
        <v>79</v>
      </c>
      <c r="C134" s="236" t="s">
        <v>168</v>
      </c>
      <c r="D134" s="236"/>
      <c r="E134" s="89" t="s">
        <v>100</v>
      </c>
      <c r="F134" s="89" t="s">
        <v>481</v>
      </c>
      <c r="G134" s="89"/>
      <c r="H134" s="89"/>
      <c r="I134" s="89" t="s">
        <v>574</v>
      </c>
      <c r="J134" s="89" t="s">
        <v>575</v>
      </c>
      <c r="K134" s="89" t="s">
        <v>102</v>
      </c>
      <c r="L134" s="89" t="s">
        <v>484</v>
      </c>
      <c r="M134" s="89" t="s">
        <v>90</v>
      </c>
      <c r="N134" s="89" t="s">
        <v>914</v>
      </c>
      <c r="O134" s="89" t="s">
        <v>802</v>
      </c>
    </row>
    <row r="135" spans="1:15" ht="40.799999999999997" x14ac:dyDescent="0.3">
      <c r="A135" s="88">
        <v>144</v>
      </c>
      <c r="B135" s="89" t="s">
        <v>79</v>
      </c>
      <c r="C135" s="236" t="s">
        <v>168</v>
      </c>
      <c r="D135" s="236"/>
      <c r="E135" s="89" t="s">
        <v>100</v>
      </c>
      <c r="F135" s="89" t="s">
        <v>481</v>
      </c>
      <c r="G135" s="89"/>
      <c r="H135" s="89"/>
      <c r="I135" s="89" t="s">
        <v>503</v>
      </c>
      <c r="J135" s="89" t="s">
        <v>504</v>
      </c>
      <c r="K135" s="89" t="s">
        <v>102</v>
      </c>
      <c r="L135" s="89" t="s">
        <v>484</v>
      </c>
      <c r="M135" s="89" t="s">
        <v>90</v>
      </c>
      <c r="N135" s="89" t="s">
        <v>915</v>
      </c>
      <c r="O135" s="89" t="s">
        <v>802</v>
      </c>
    </row>
    <row r="136" spans="1:15" ht="40.799999999999997" x14ac:dyDescent="0.3">
      <c r="A136" s="88">
        <v>145</v>
      </c>
      <c r="B136" s="89" t="s">
        <v>79</v>
      </c>
      <c r="C136" s="236" t="s">
        <v>168</v>
      </c>
      <c r="D136" s="236"/>
      <c r="E136" s="89" t="s">
        <v>100</v>
      </c>
      <c r="F136" s="89" t="s">
        <v>481</v>
      </c>
      <c r="G136" s="89"/>
      <c r="H136" s="89"/>
      <c r="I136" s="89" t="s">
        <v>507</v>
      </c>
      <c r="J136" s="89" t="s">
        <v>508</v>
      </c>
      <c r="K136" s="89" t="s">
        <v>102</v>
      </c>
      <c r="L136" s="89" t="s">
        <v>484</v>
      </c>
      <c r="M136" s="89" t="s">
        <v>90</v>
      </c>
      <c r="N136" s="89" t="s">
        <v>916</v>
      </c>
      <c r="O136" s="89" t="s">
        <v>802</v>
      </c>
    </row>
    <row r="137" spans="1:15" ht="40.799999999999997" x14ac:dyDescent="0.3">
      <c r="A137" s="88">
        <v>146</v>
      </c>
      <c r="B137" s="89" t="s">
        <v>79</v>
      </c>
      <c r="C137" s="236" t="s">
        <v>168</v>
      </c>
      <c r="D137" s="236"/>
      <c r="E137" s="89" t="s">
        <v>100</v>
      </c>
      <c r="F137" s="89" t="s">
        <v>481</v>
      </c>
      <c r="G137" s="89"/>
      <c r="H137" s="89"/>
      <c r="I137" s="89" t="s">
        <v>511</v>
      </c>
      <c r="J137" s="89" t="s">
        <v>512</v>
      </c>
      <c r="K137" s="89" t="s">
        <v>102</v>
      </c>
      <c r="L137" s="89" t="s">
        <v>484</v>
      </c>
      <c r="M137" s="89" t="s">
        <v>90</v>
      </c>
      <c r="N137" s="89" t="s">
        <v>874</v>
      </c>
      <c r="O137" s="89" t="s">
        <v>802</v>
      </c>
    </row>
    <row r="138" spans="1:15" ht="40.799999999999997" x14ac:dyDescent="0.3">
      <c r="A138" s="88">
        <v>147</v>
      </c>
      <c r="B138" s="89" t="s">
        <v>79</v>
      </c>
      <c r="C138" s="236" t="s">
        <v>168</v>
      </c>
      <c r="D138" s="236"/>
      <c r="E138" s="89" t="s">
        <v>100</v>
      </c>
      <c r="F138" s="89" t="s">
        <v>481</v>
      </c>
      <c r="G138" s="89"/>
      <c r="H138" s="89"/>
      <c r="I138" s="89" t="s">
        <v>513</v>
      </c>
      <c r="J138" s="89" t="s">
        <v>514</v>
      </c>
      <c r="K138" s="89" t="s">
        <v>102</v>
      </c>
      <c r="L138" s="89" t="s">
        <v>484</v>
      </c>
      <c r="M138" s="89" t="s">
        <v>90</v>
      </c>
      <c r="N138" s="89" t="s">
        <v>917</v>
      </c>
      <c r="O138" s="89" t="s">
        <v>802</v>
      </c>
    </row>
    <row r="139" spans="1:15" ht="40.799999999999997" x14ac:dyDescent="0.3">
      <c r="A139" s="88">
        <v>148</v>
      </c>
      <c r="B139" s="89" t="s">
        <v>79</v>
      </c>
      <c r="C139" s="236" t="s">
        <v>168</v>
      </c>
      <c r="D139" s="236"/>
      <c r="E139" s="89" t="s">
        <v>100</v>
      </c>
      <c r="F139" s="89" t="s">
        <v>481</v>
      </c>
      <c r="G139" s="89"/>
      <c r="H139" s="89"/>
      <c r="I139" s="89" t="s">
        <v>521</v>
      </c>
      <c r="J139" s="89" t="s">
        <v>522</v>
      </c>
      <c r="K139" s="89" t="s">
        <v>102</v>
      </c>
      <c r="L139" s="89" t="s">
        <v>484</v>
      </c>
      <c r="M139" s="89" t="s">
        <v>90</v>
      </c>
      <c r="N139" s="89" t="s">
        <v>918</v>
      </c>
      <c r="O139" s="89" t="s">
        <v>802</v>
      </c>
    </row>
    <row r="140" spans="1:15" ht="40.799999999999997" x14ac:dyDescent="0.3">
      <c r="A140" s="88">
        <v>149</v>
      </c>
      <c r="B140" s="89" t="s">
        <v>79</v>
      </c>
      <c r="C140" s="236" t="s">
        <v>168</v>
      </c>
      <c r="D140" s="236"/>
      <c r="E140" s="89" t="s">
        <v>100</v>
      </c>
      <c r="F140" s="89" t="s">
        <v>481</v>
      </c>
      <c r="G140" s="89"/>
      <c r="H140" s="89"/>
      <c r="I140" s="89" t="s">
        <v>580</v>
      </c>
      <c r="J140" s="89" t="s">
        <v>581</v>
      </c>
      <c r="K140" s="89" t="s">
        <v>102</v>
      </c>
      <c r="L140" s="89" t="s">
        <v>484</v>
      </c>
      <c r="M140" s="89" t="s">
        <v>90</v>
      </c>
      <c r="N140" s="89" t="s">
        <v>919</v>
      </c>
      <c r="O140" s="89" t="s">
        <v>802</v>
      </c>
    </row>
    <row r="141" spans="1:15" ht="40.799999999999997" x14ac:dyDescent="0.3">
      <c r="A141" s="88">
        <v>150</v>
      </c>
      <c r="B141" s="89" t="s">
        <v>79</v>
      </c>
      <c r="C141" s="236" t="s">
        <v>168</v>
      </c>
      <c r="D141" s="236"/>
      <c r="E141" s="89" t="s">
        <v>100</v>
      </c>
      <c r="F141" s="89" t="s">
        <v>481</v>
      </c>
      <c r="G141" s="89"/>
      <c r="H141" s="89"/>
      <c r="I141" s="89" t="s">
        <v>525</v>
      </c>
      <c r="J141" s="89" t="s">
        <v>526</v>
      </c>
      <c r="K141" s="89" t="s">
        <v>102</v>
      </c>
      <c r="L141" s="89" t="s">
        <v>484</v>
      </c>
      <c r="M141" s="89" t="s">
        <v>90</v>
      </c>
      <c r="N141" s="89" t="s">
        <v>920</v>
      </c>
      <c r="O141" s="89" t="s">
        <v>802</v>
      </c>
    </row>
    <row r="142" spans="1:15" ht="40.799999999999997" x14ac:dyDescent="0.3">
      <c r="A142" s="88">
        <v>151</v>
      </c>
      <c r="B142" s="89" t="s">
        <v>79</v>
      </c>
      <c r="C142" s="236" t="s">
        <v>168</v>
      </c>
      <c r="D142" s="236"/>
      <c r="E142" s="89" t="s">
        <v>100</v>
      </c>
      <c r="F142" s="89" t="s">
        <v>481</v>
      </c>
      <c r="G142" s="89"/>
      <c r="H142" s="89"/>
      <c r="I142" s="89" t="s">
        <v>413</v>
      </c>
      <c r="J142" s="89" t="s">
        <v>414</v>
      </c>
      <c r="K142" s="89" t="s">
        <v>102</v>
      </c>
      <c r="L142" s="89" t="s">
        <v>484</v>
      </c>
      <c r="M142" s="89" t="s">
        <v>90</v>
      </c>
      <c r="N142" s="89" t="s">
        <v>921</v>
      </c>
      <c r="O142" s="89" t="s">
        <v>802</v>
      </c>
    </row>
    <row r="143" spans="1:15" ht="40.799999999999997" x14ac:dyDescent="0.3">
      <c r="A143" s="88">
        <v>152</v>
      </c>
      <c r="B143" s="89" t="s">
        <v>79</v>
      </c>
      <c r="C143" s="236" t="s">
        <v>168</v>
      </c>
      <c r="D143" s="236"/>
      <c r="E143" s="89" t="s">
        <v>100</v>
      </c>
      <c r="F143" s="89" t="s">
        <v>481</v>
      </c>
      <c r="G143" s="89"/>
      <c r="H143" s="89"/>
      <c r="I143" s="89" t="s">
        <v>527</v>
      </c>
      <c r="J143" s="89" t="s">
        <v>528</v>
      </c>
      <c r="K143" s="89" t="s">
        <v>102</v>
      </c>
      <c r="L143" s="89" t="s">
        <v>484</v>
      </c>
      <c r="M143" s="89" t="s">
        <v>90</v>
      </c>
      <c r="N143" s="89" t="s">
        <v>922</v>
      </c>
      <c r="O143" s="89" t="s">
        <v>802</v>
      </c>
    </row>
    <row r="144" spans="1:15" ht="40.799999999999997" x14ac:dyDescent="0.3">
      <c r="A144" s="88">
        <v>153</v>
      </c>
      <c r="B144" s="89" t="s">
        <v>79</v>
      </c>
      <c r="C144" s="236" t="s">
        <v>168</v>
      </c>
      <c r="D144" s="236"/>
      <c r="E144" s="89" t="s">
        <v>100</v>
      </c>
      <c r="F144" s="89" t="s">
        <v>481</v>
      </c>
      <c r="G144" s="89"/>
      <c r="H144" s="89"/>
      <c r="I144" s="89" t="s">
        <v>582</v>
      </c>
      <c r="J144" s="89" t="s">
        <v>583</v>
      </c>
      <c r="K144" s="89" t="s">
        <v>102</v>
      </c>
      <c r="L144" s="89" t="s">
        <v>484</v>
      </c>
      <c r="M144" s="89" t="s">
        <v>90</v>
      </c>
      <c r="N144" s="89" t="s">
        <v>832</v>
      </c>
      <c r="O144" s="89" t="s">
        <v>802</v>
      </c>
    </row>
    <row r="145" spans="1:15" ht="40.799999999999997" x14ac:dyDescent="0.3">
      <c r="A145" s="88">
        <v>154</v>
      </c>
      <c r="B145" s="89" t="s">
        <v>79</v>
      </c>
      <c r="C145" s="236" t="s">
        <v>168</v>
      </c>
      <c r="D145" s="236"/>
      <c r="E145" s="89" t="s">
        <v>100</v>
      </c>
      <c r="F145" s="89" t="s">
        <v>481</v>
      </c>
      <c r="G145" s="89"/>
      <c r="H145" s="89"/>
      <c r="I145" s="89" t="s">
        <v>529</v>
      </c>
      <c r="J145" s="89" t="s">
        <v>530</v>
      </c>
      <c r="K145" s="89" t="s">
        <v>102</v>
      </c>
      <c r="L145" s="89" t="s">
        <v>484</v>
      </c>
      <c r="M145" s="89" t="s">
        <v>90</v>
      </c>
      <c r="N145" s="89" t="s">
        <v>923</v>
      </c>
      <c r="O145" s="89" t="s">
        <v>841</v>
      </c>
    </row>
    <row r="146" spans="1:15" ht="40.799999999999997" x14ac:dyDescent="0.3">
      <c r="A146" s="88">
        <v>155</v>
      </c>
      <c r="B146" s="89" t="s">
        <v>79</v>
      </c>
      <c r="C146" s="236" t="s">
        <v>168</v>
      </c>
      <c r="D146" s="236"/>
      <c r="E146" s="89" t="s">
        <v>100</v>
      </c>
      <c r="F146" s="89" t="s">
        <v>481</v>
      </c>
      <c r="G146" s="89"/>
      <c r="H146" s="89"/>
      <c r="I146" s="89" t="s">
        <v>584</v>
      </c>
      <c r="J146" s="89" t="s">
        <v>585</v>
      </c>
      <c r="K146" s="89" t="s">
        <v>102</v>
      </c>
      <c r="L146" s="89" t="s">
        <v>484</v>
      </c>
      <c r="M146" s="89" t="s">
        <v>90</v>
      </c>
      <c r="N146" s="89" t="s">
        <v>924</v>
      </c>
      <c r="O146" s="89" t="s">
        <v>802</v>
      </c>
    </row>
    <row r="147" spans="1:15" ht="40.799999999999997" x14ac:dyDescent="0.3">
      <c r="A147" s="88">
        <v>156</v>
      </c>
      <c r="B147" s="89" t="s">
        <v>79</v>
      </c>
      <c r="C147" s="236" t="s">
        <v>168</v>
      </c>
      <c r="D147" s="236"/>
      <c r="E147" s="89" t="s">
        <v>100</v>
      </c>
      <c r="F147" s="89" t="s">
        <v>481</v>
      </c>
      <c r="G147" s="89"/>
      <c r="H147" s="89"/>
      <c r="I147" s="89" t="s">
        <v>531</v>
      </c>
      <c r="J147" s="89" t="s">
        <v>532</v>
      </c>
      <c r="K147" s="89" t="s">
        <v>102</v>
      </c>
      <c r="L147" s="89" t="s">
        <v>484</v>
      </c>
      <c r="M147" s="89" t="s">
        <v>90</v>
      </c>
      <c r="N147" s="89" t="s">
        <v>918</v>
      </c>
      <c r="O147" s="89" t="s">
        <v>802</v>
      </c>
    </row>
    <row r="148" spans="1:15" ht="40.799999999999997" x14ac:dyDescent="0.3">
      <c r="A148" s="88">
        <v>157</v>
      </c>
      <c r="B148" s="89" t="s">
        <v>79</v>
      </c>
      <c r="C148" s="236" t="s">
        <v>168</v>
      </c>
      <c r="D148" s="236"/>
      <c r="E148" s="89" t="s">
        <v>100</v>
      </c>
      <c r="F148" s="89" t="s">
        <v>481</v>
      </c>
      <c r="G148" s="89"/>
      <c r="H148" s="89"/>
      <c r="I148" s="89" t="s">
        <v>415</v>
      </c>
      <c r="J148" s="89" t="s">
        <v>416</v>
      </c>
      <c r="K148" s="89" t="s">
        <v>102</v>
      </c>
      <c r="L148" s="89" t="s">
        <v>484</v>
      </c>
      <c r="M148" s="89" t="s">
        <v>90</v>
      </c>
      <c r="N148" s="89" t="s">
        <v>925</v>
      </c>
      <c r="O148" s="89" t="s">
        <v>802</v>
      </c>
    </row>
    <row r="149" spans="1:15" ht="40.799999999999997" x14ac:dyDescent="0.3">
      <c r="A149" s="88">
        <v>158</v>
      </c>
      <c r="B149" s="89" t="s">
        <v>79</v>
      </c>
      <c r="C149" s="236" t="s">
        <v>168</v>
      </c>
      <c r="D149" s="236"/>
      <c r="E149" s="89" t="s">
        <v>100</v>
      </c>
      <c r="F149" s="89" t="s">
        <v>481</v>
      </c>
      <c r="G149" s="89"/>
      <c r="H149" s="89"/>
      <c r="I149" s="89" t="s">
        <v>533</v>
      </c>
      <c r="J149" s="89" t="s">
        <v>534</v>
      </c>
      <c r="K149" s="89" t="s">
        <v>102</v>
      </c>
      <c r="L149" s="89" t="s">
        <v>484</v>
      </c>
      <c r="M149" s="89" t="s">
        <v>90</v>
      </c>
      <c r="N149" s="89" t="s">
        <v>926</v>
      </c>
      <c r="O149" s="89" t="s">
        <v>802</v>
      </c>
    </row>
    <row r="150" spans="1:15" ht="40.799999999999997" x14ac:dyDescent="0.3">
      <c r="A150" s="88">
        <v>159</v>
      </c>
      <c r="B150" s="89" t="s">
        <v>79</v>
      </c>
      <c r="C150" s="236" t="s">
        <v>168</v>
      </c>
      <c r="D150" s="236"/>
      <c r="E150" s="89" t="s">
        <v>100</v>
      </c>
      <c r="F150" s="89" t="s">
        <v>481</v>
      </c>
      <c r="G150" s="89"/>
      <c r="H150" s="89"/>
      <c r="I150" s="89" t="s">
        <v>535</v>
      </c>
      <c r="J150" s="89" t="s">
        <v>536</v>
      </c>
      <c r="K150" s="89" t="s">
        <v>102</v>
      </c>
      <c r="L150" s="89" t="s">
        <v>484</v>
      </c>
      <c r="M150" s="89" t="s">
        <v>90</v>
      </c>
      <c r="N150" s="89" t="s">
        <v>821</v>
      </c>
      <c r="O150" s="89" t="s">
        <v>802</v>
      </c>
    </row>
    <row r="151" spans="1:15" ht="40.799999999999997" x14ac:dyDescent="0.3">
      <c r="A151" s="88">
        <v>160</v>
      </c>
      <c r="B151" s="89" t="s">
        <v>79</v>
      </c>
      <c r="C151" s="236" t="s">
        <v>168</v>
      </c>
      <c r="D151" s="236"/>
      <c r="E151" s="89" t="s">
        <v>100</v>
      </c>
      <c r="F151" s="89" t="s">
        <v>481</v>
      </c>
      <c r="G151" s="89"/>
      <c r="H151" s="89"/>
      <c r="I151" s="89" t="s">
        <v>537</v>
      </c>
      <c r="J151" s="89" t="s">
        <v>538</v>
      </c>
      <c r="K151" s="89" t="s">
        <v>102</v>
      </c>
      <c r="L151" s="89" t="s">
        <v>484</v>
      </c>
      <c r="M151" s="89" t="s">
        <v>90</v>
      </c>
      <c r="N151" s="89" t="s">
        <v>927</v>
      </c>
      <c r="O151" s="89" t="s">
        <v>802</v>
      </c>
    </row>
    <row r="152" spans="1:15" ht="40.799999999999997" x14ac:dyDescent="0.3">
      <c r="A152" s="88">
        <v>161</v>
      </c>
      <c r="B152" s="89" t="s">
        <v>79</v>
      </c>
      <c r="C152" s="236" t="s">
        <v>168</v>
      </c>
      <c r="D152" s="236"/>
      <c r="E152" s="89" t="s">
        <v>100</v>
      </c>
      <c r="F152" s="89" t="s">
        <v>481</v>
      </c>
      <c r="G152" s="89"/>
      <c r="H152" s="89"/>
      <c r="I152" s="89" t="s">
        <v>539</v>
      </c>
      <c r="J152" s="89" t="s">
        <v>540</v>
      </c>
      <c r="K152" s="89" t="s">
        <v>102</v>
      </c>
      <c r="L152" s="89" t="s">
        <v>484</v>
      </c>
      <c r="M152" s="89" t="s">
        <v>90</v>
      </c>
      <c r="N152" s="89" t="s">
        <v>848</v>
      </c>
      <c r="O152" s="89" t="s">
        <v>802</v>
      </c>
    </row>
    <row r="153" spans="1:15" ht="40.799999999999997" x14ac:dyDescent="0.3">
      <c r="A153" s="88">
        <v>162</v>
      </c>
      <c r="B153" s="89" t="s">
        <v>79</v>
      </c>
      <c r="C153" s="236" t="s">
        <v>168</v>
      </c>
      <c r="D153" s="236"/>
      <c r="E153" s="89" t="s">
        <v>100</v>
      </c>
      <c r="F153" s="89" t="s">
        <v>481</v>
      </c>
      <c r="G153" s="89"/>
      <c r="H153" s="89"/>
      <c r="I153" s="89" t="s">
        <v>541</v>
      </c>
      <c r="J153" s="89" t="s">
        <v>542</v>
      </c>
      <c r="K153" s="89" t="s">
        <v>102</v>
      </c>
      <c r="L153" s="89" t="s">
        <v>484</v>
      </c>
      <c r="M153" s="89" t="s">
        <v>90</v>
      </c>
      <c r="N153" s="89" t="s">
        <v>928</v>
      </c>
      <c r="O153" s="89" t="s">
        <v>802</v>
      </c>
    </row>
    <row r="154" spans="1:15" ht="40.799999999999997" x14ac:dyDescent="0.3">
      <c r="A154" s="88">
        <v>163</v>
      </c>
      <c r="B154" s="89" t="s">
        <v>79</v>
      </c>
      <c r="C154" s="236" t="s">
        <v>168</v>
      </c>
      <c r="D154" s="236"/>
      <c r="E154" s="89" t="s">
        <v>100</v>
      </c>
      <c r="F154" s="89" t="s">
        <v>481</v>
      </c>
      <c r="G154" s="89"/>
      <c r="H154" s="89"/>
      <c r="I154" s="89" t="s">
        <v>543</v>
      </c>
      <c r="J154" s="89" t="s">
        <v>544</v>
      </c>
      <c r="K154" s="89" t="s">
        <v>102</v>
      </c>
      <c r="L154" s="89" t="s">
        <v>484</v>
      </c>
      <c r="M154" s="89" t="s">
        <v>90</v>
      </c>
      <c r="N154" s="89" t="s">
        <v>928</v>
      </c>
      <c r="O154" s="89" t="s">
        <v>802</v>
      </c>
    </row>
    <row r="155" spans="1:15" ht="40.799999999999997" x14ac:dyDescent="0.3">
      <c r="A155" s="88">
        <v>164</v>
      </c>
      <c r="B155" s="89" t="s">
        <v>79</v>
      </c>
      <c r="C155" s="236" t="s">
        <v>168</v>
      </c>
      <c r="D155" s="236"/>
      <c r="E155" s="89" t="s">
        <v>100</v>
      </c>
      <c r="F155" s="89" t="s">
        <v>481</v>
      </c>
      <c r="G155" s="89"/>
      <c r="H155" s="89"/>
      <c r="I155" s="89" t="s">
        <v>586</v>
      </c>
      <c r="J155" s="89" t="s">
        <v>587</v>
      </c>
      <c r="K155" s="89" t="s">
        <v>102</v>
      </c>
      <c r="L155" s="89" t="s">
        <v>484</v>
      </c>
      <c r="M155" s="89" t="s">
        <v>90</v>
      </c>
      <c r="N155" s="89" t="s">
        <v>929</v>
      </c>
      <c r="O155" s="89" t="s">
        <v>830</v>
      </c>
    </row>
    <row r="156" spans="1:15" ht="40.799999999999997" x14ac:dyDescent="0.3">
      <c r="A156" s="88">
        <v>165</v>
      </c>
      <c r="B156" s="89" t="s">
        <v>79</v>
      </c>
      <c r="C156" s="236" t="s">
        <v>168</v>
      </c>
      <c r="D156" s="236"/>
      <c r="E156" s="89" t="s">
        <v>100</v>
      </c>
      <c r="F156" s="89" t="s">
        <v>481</v>
      </c>
      <c r="G156" s="89"/>
      <c r="H156" s="89"/>
      <c r="I156" s="89" t="s">
        <v>545</v>
      </c>
      <c r="J156" s="89" t="s">
        <v>546</v>
      </c>
      <c r="K156" s="89" t="s">
        <v>102</v>
      </c>
      <c r="L156" s="89" t="s">
        <v>484</v>
      </c>
      <c r="M156" s="89" t="s">
        <v>90</v>
      </c>
      <c r="N156" s="89" t="s">
        <v>842</v>
      </c>
      <c r="O156" s="89" t="s">
        <v>802</v>
      </c>
    </row>
    <row r="157" spans="1:15" ht="40.799999999999997" x14ac:dyDescent="0.3">
      <c r="A157" s="88">
        <v>166</v>
      </c>
      <c r="B157" s="89" t="s">
        <v>79</v>
      </c>
      <c r="C157" s="236" t="s">
        <v>168</v>
      </c>
      <c r="D157" s="236"/>
      <c r="E157" s="89" t="s">
        <v>100</v>
      </c>
      <c r="F157" s="89" t="s">
        <v>481</v>
      </c>
      <c r="G157" s="89"/>
      <c r="H157" s="89"/>
      <c r="I157" s="89" t="s">
        <v>590</v>
      </c>
      <c r="J157" s="89" t="s">
        <v>591</v>
      </c>
      <c r="K157" s="89" t="s">
        <v>102</v>
      </c>
      <c r="L157" s="89" t="s">
        <v>484</v>
      </c>
      <c r="M157" s="89" t="s">
        <v>90</v>
      </c>
      <c r="N157" s="89" t="s">
        <v>820</v>
      </c>
      <c r="O157" s="89" t="s">
        <v>802</v>
      </c>
    </row>
    <row r="158" spans="1:15" x14ac:dyDescent="0.3">
      <c r="A158" s="88">
        <v>167</v>
      </c>
      <c r="B158" s="89" t="s">
        <v>79</v>
      </c>
      <c r="C158" s="236" t="s">
        <v>168</v>
      </c>
      <c r="D158" s="236"/>
      <c r="E158" s="89" t="s">
        <v>100</v>
      </c>
      <c r="F158" s="89" t="s">
        <v>481</v>
      </c>
      <c r="G158" s="89"/>
      <c r="H158" s="89"/>
      <c r="I158" s="89" t="s">
        <v>547</v>
      </c>
      <c r="J158" s="89" t="s">
        <v>548</v>
      </c>
      <c r="K158" s="89" t="s">
        <v>549</v>
      </c>
      <c r="L158" s="89" t="s">
        <v>484</v>
      </c>
      <c r="M158" s="89"/>
      <c r="N158" s="89" t="s">
        <v>930</v>
      </c>
      <c r="O158" s="89" t="s">
        <v>802</v>
      </c>
    </row>
    <row r="159" spans="1:15" x14ac:dyDescent="0.3">
      <c r="A159" s="88">
        <v>168</v>
      </c>
      <c r="B159" s="89" t="s">
        <v>79</v>
      </c>
      <c r="C159" s="236" t="s">
        <v>168</v>
      </c>
      <c r="D159" s="236"/>
      <c r="E159" s="89" t="s">
        <v>100</v>
      </c>
      <c r="F159" s="89" t="s">
        <v>481</v>
      </c>
      <c r="G159" s="89"/>
      <c r="H159" s="89"/>
      <c r="I159" s="89" t="s">
        <v>550</v>
      </c>
      <c r="J159" s="89" t="s">
        <v>551</v>
      </c>
      <c r="K159" s="89" t="s">
        <v>549</v>
      </c>
      <c r="L159" s="89" t="s">
        <v>484</v>
      </c>
      <c r="M159" s="89"/>
      <c r="N159" s="89" t="s">
        <v>931</v>
      </c>
      <c r="O159" s="89" t="s">
        <v>847</v>
      </c>
    </row>
    <row r="160" spans="1:15" x14ac:dyDescent="0.3">
      <c r="A160" s="88">
        <v>169</v>
      </c>
      <c r="B160" s="89" t="s">
        <v>79</v>
      </c>
      <c r="C160" s="236" t="s">
        <v>168</v>
      </c>
      <c r="D160" s="236"/>
      <c r="E160" s="89" t="s">
        <v>100</v>
      </c>
      <c r="F160" s="89" t="s">
        <v>481</v>
      </c>
      <c r="G160" s="89"/>
      <c r="H160" s="89"/>
      <c r="I160" s="89" t="s">
        <v>552</v>
      </c>
      <c r="J160" s="89" t="s">
        <v>553</v>
      </c>
      <c r="K160" s="89" t="s">
        <v>549</v>
      </c>
      <c r="L160" s="89" t="s">
        <v>484</v>
      </c>
      <c r="M160" s="89"/>
      <c r="N160" s="89" t="s">
        <v>839</v>
      </c>
      <c r="O160" s="89" t="s">
        <v>802</v>
      </c>
    </row>
    <row r="161" spans="1:15" x14ac:dyDescent="0.3">
      <c r="A161" s="88">
        <v>170</v>
      </c>
      <c r="B161" s="89" t="s">
        <v>79</v>
      </c>
      <c r="C161" s="236" t="s">
        <v>168</v>
      </c>
      <c r="D161" s="236"/>
      <c r="E161" s="89" t="s">
        <v>100</v>
      </c>
      <c r="F161" s="89" t="s">
        <v>481</v>
      </c>
      <c r="G161" s="89"/>
      <c r="H161" s="89"/>
      <c r="I161" s="89" t="s">
        <v>554</v>
      </c>
      <c r="J161" s="89" t="s">
        <v>555</v>
      </c>
      <c r="K161" s="89" t="s">
        <v>549</v>
      </c>
      <c r="L161" s="89" t="s">
        <v>484</v>
      </c>
      <c r="M161" s="89"/>
      <c r="N161" s="89" t="s">
        <v>930</v>
      </c>
      <c r="O161" s="89" t="s">
        <v>802</v>
      </c>
    </row>
    <row r="162" spans="1:15" x14ac:dyDescent="0.3">
      <c r="A162" s="88">
        <v>171</v>
      </c>
      <c r="B162" s="89" t="s">
        <v>79</v>
      </c>
      <c r="C162" s="236" t="s">
        <v>168</v>
      </c>
      <c r="D162" s="236"/>
      <c r="E162" s="89" t="s">
        <v>100</v>
      </c>
      <c r="F162" s="89" t="s">
        <v>481</v>
      </c>
      <c r="G162" s="89"/>
      <c r="H162" s="89"/>
      <c r="I162" s="89" t="s">
        <v>556</v>
      </c>
      <c r="J162" s="89" t="s">
        <v>557</v>
      </c>
      <c r="K162" s="89" t="s">
        <v>558</v>
      </c>
      <c r="L162" s="89" t="s">
        <v>484</v>
      </c>
      <c r="M162" s="89"/>
      <c r="N162" s="89" t="s">
        <v>816</v>
      </c>
      <c r="O162" s="89" t="s">
        <v>802</v>
      </c>
    </row>
    <row r="163" spans="1:15" ht="40.799999999999997" x14ac:dyDescent="0.3">
      <c r="A163" s="88">
        <v>172</v>
      </c>
      <c r="B163" s="89" t="s">
        <v>79</v>
      </c>
      <c r="C163" s="236" t="s">
        <v>168</v>
      </c>
      <c r="D163" s="236"/>
      <c r="E163" s="89" t="s">
        <v>100</v>
      </c>
      <c r="F163" s="89" t="s">
        <v>481</v>
      </c>
      <c r="G163" s="89"/>
      <c r="H163" s="89"/>
      <c r="I163" s="89" t="s">
        <v>562</v>
      </c>
      <c r="J163" s="89" t="s">
        <v>563</v>
      </c>
      <c r="K163" s="89" t="s">
        <v>561</v>
      </c>
      <c r="L163" s="89" t="s">
        <v>484</v>
      </c>
      <c r="M163" s="89" t="s">
        <v>90</v>
      </c>
      <c r="N163" s="89" t="s">
        <v>914</v>
      </c>
      <c r="O163" s="89" t="s">
        <v>847</v>
      </c>
    </row>
    <row r="164" spans="1:15" ht="40.799999999999997" x14ac:dyDescent="0.3">
      <c r="A164" s="88">
        <v>173</v>
      </c>
      <c r="B164" s="89" t="s">
        <v>79</v>
      </c>
      <c r="C164" s="236" t="s">
        <v>168</v>
      </c>
      <c r="D164" s="236"/>
      <c r="E164" s="89" t="s">
        <v>100</v>
      </c>
      <c r="F164" s="89" t="s">
        <v>481</v>
      </c>
      <c r="G164" s="89" t="s">
        <v>245</v>
      </c>
      <c r="H164" s="89"/>
      <c r="I164" s="89" t="s">
        <v>509</v>
      </c>
      <c r="J164" s="89" t="s">
        <v>510</v>
      </c>
      <c r="K164" s="89" t="s">
        <v>102</v>
      </c>
      <c r="L164" s="89" t="s">
        <v>484</v>
      </c>
      <c r="M164" s="89" t="s">
        <v>90</v>
      </c>
      <c r="N164" s="89" t="s">
        <v>838</v>
      </c>
      <c r="O164" s="89" t="s">
        <v>841</v>
      </c>
    </row>
    <row r="165" spans="1:15" ht="40.799999999999997" x14ac:dyDescent="0.3">
      <c r="A165" s="88">
        <v>174</v>
      </c>
      <c r="B165" s="89" t="s">
        <v>79</v>
      </c>
      <c r="C165" s="236" t="s">
        <v>168</v>
      </c>
      <c r="D165" s="236"/>
      <c r="E165" s="89" t="s">
        <v>100</v>
      </c>
      <c r="F165" s="89" t="s">
        <v>481</v>
      </c>
      <c r="G165" s="89" t="s">
        <v>245</v>
      </c>
      <c r="H165" s="89"/>
      <c r="I165" s="89" t="s">
        <v>523</v>
      </c>
      <c r="J165" s="89" t="s">
        <v>524</v>
      </c>
      <c r="K165" s="89" t="s">
        <v>102</v>
      </c>
      <c r="L165" s="89" t="s">
        <v>484</v>
      </c>
      <c r="M165" s="89" t="s">
        <v>90</v>
      </c>
      <c r="N165" s="89" t="s">
        <v>842</v>
      </c>
      <c r="O165" s="89" t="s">
        <v>802</v>
      </c>
    </row>
    <row r="166" spans="1:15" ht="40.799999999999997" x14ac:dyDescent="0.3">
      <c r="A166" s="88">
        <v>175</v>
      </c>
      <c r="B166" s="89" t="s">
        <v>79</v>
      </c>
      <c r="C166" s="236" t="s">
        <v>168</v>
      </c>
      <c r="D166" s="236"/>
      <c r="E166" s="89" t="s">
        <v>100</v>
      </c>
      <c r="F166" s="89" t="s">
        <v>594</v>
      </c>
      <c r="G166" s="89"/>
      <c r="H166" s="89"/>
      <c r="I166" s="89" t="s">
        <v>595</v>
      </c>
      <c r="J166" s="89" t="s">
        <v>596</v>
      </c>
      <c r="K166" s="89" t="s">
        <v>102</v>
      </c>
      <c r="L166" s="89" t="s">
        <v>84</v>
      </c>
      <c r="M166" s="89" t="s">
        <v>90</v>
      </c>
      <c r="N166" s="89" t="s">
        <v>932</v>
      </c>
      <c r="O166" s="89" t="s">
        <v>802</v>
      </c>
    </row>
    <row r="167" spans="1:15" ht="40.799999999999997" x14ac:dyDescent="0.3">
      <c r="A167" s="88">
        <v>176</v>
      </c>
      <c r="B167" s="89" t="s">
        <v>79</v>
      </c>
      <c r="C167" s="236" t="s">
        <v>168</v>
      </c>
      <c r="D167" s="236"/>
      <c r="E167" s="89" t="s">
        <v>100</v>
      </c>
      <c r="F167" s="89" t="s">
        <v>594</v>
      </c>
      <c r="G167" s="89"/>
      <c r="H167" s="89"/>
      <c r="I167" s="89" t="s">
        <v>597</v>
      </c>
      <c r="J167" s="89" t="s">
        <v>598</v>
      </c>
      <c r="K167" s="89" t="s">
        <v>102</v>
      </c>
      <c r="L167" s="89" t="s">
        <v>84</v>
      </c>
      <c r="M167" s="89" t="s">
        <v>90</v>
      </c>
      <c r="N167" s="89" t="s">
        <v>933</v>
      </c>
      <c r="O167" s="89" t="s">
        <v>802</v>
      </c>
    </row>
    <row r="168" spans="1:15" ht="40.799999999999997" x14ac:dyDescent="0.3">
      <c r="A168" s="88">
        <v>177</v>
      </c>
      <c r="B168" s="89" t="s">
        <v>79</v>
      </c>
      <c r="C168" s="236" t="s">
        <v>168</v>
      </c>
      <c r="D168" s="236"/>
      <c r="E168" s="89" t="s">
        <v>100</v>
      </c>
      <c r="F168" s="89" t="s">
        <v>594</v>
      </c>
      <c r="G168" s="89"/>
      <c r="H168" s="89"/>
      <c r="I168" s="89" t="s">
        <v>599</v>
      </c>
      <c r="J168" s="89" t="s">
        <v>600</v>
      </c>
      <c r="K168" s="89" t="s">
        <v>102</v>
      </c>
      <c r="L168" s="89" t="s">
        <v>84</v>
      </c>
      <c r="M168" s="89" t="s">
        <v>90</v>
      </c>
      <c r="N168" s="89" t="s">
        <v>934</v>
      </c>
      <c r="O168" s="89" t="s">
        <v>802</v>
      </c>
    </row>
    <row r="169" spans="1:15" ht="40.799999999999997" x14ac:dyDescent="0.3">
      <c r="A169" s="88">
        <v>178</v>
      </c>
      <c r="B169" s="89" t="s">
        <v>79</v>
      </c>
      <c r="C169" s="236" t="s">
        <v>168</v>
      </c>
      <c r="D169" s="236"/>
      <c r="E169" s="89" t="s">
        <v>100</v>
      </c>
      <c r="F169" s="89" t="s">
        <v>594</v>
      </c>
      <c r="G169" s="89"/>
      <c r="H169" s="89"/>
      <c r="I169" s="89" t="s">
        <v>578</v>
      </c>
      <c r="J169" s="89" t="s">
        <v>579</v>
      </c>
      <c r="K169" s="89" t="s">
        <v>102</v>
      </c>
      <c r="L169" s="89" t="s">
        <v>84</v>
      </c>
      <c r="M169" s="89" t="s">
        <v>90</v>
      </c>
      <c r="N169" s="89" t="s">
        <v>935</v>
      </c>
      <c r="O169" s="89" t="s">
        <v>802</v>
      </c>
    </row>
    <row r="170" spans="1:15" ht="40.799999999999997" x14ac:dyDescent="0.3">
      <c r="A170" s="88">
        <v>179</v>
      </c>
      <c r="B170" s="89" t="s">
        <v>79</v>
      </c>
      <c r="C170" s="236" t="s">
        <v>168</v>
      </c>
      <c r="D170" s="236"/>
      <c r="E170" s="89" t="s">
        <v>100</v>
      </c>
      <c r="F170" s="89" t="s">
        <v>594</v>
      </c>
      <c r="G170" s="89"/>
      <c r="H170" s="89"/>
      <c r="I170" s="89" t="s">
        <v>601</v>
      </c>
      <c r="J170" s="89" t="s">
        <v>602</v>
      </c>
      <c r="K170" s="89" t="s">
        <v>102</v>
      </c>
      <c r="L170" s="89" t="s">
        <v>84</v>
      </c>
      <c r="M170" s="89" t="s">
        <v>90</v>
      </c>
      <c r="N170" s="89" t="s">
        <v>936</v>
      </c>
      <c r="O170" s="89" t="s">
        <v>802</v>
      </c>
    </row>
    <row r="171" spans="1:15" ht="40.799999999999997" x14ac:dyDescent="0.3">
      <c r="A171" s="88">
        <v>180</v>
      </c>
      <c r="B171" s="89" t="s">
        <v>79</v>
      </c>
      <c r="C171" s="236" t="s">
        <v>168</v>
      </c>
      <c r="D171" s="236"/>
      <c r="E171" s="89" t="s">
        <v>100</v>
      </c>
      <c r="F171" s="89" t="s">
        <v>594</v>
      </c>
      <c r="G171" s="89"/>
      <c r="H171" s="89"/>
      <c r="I171" s="89" t="s">
        <v>603</v>
      </c>
      <c r="J171" s="89" t="s">
        <v>604</v>
      </c>
      <c r="K171" s="89" t="s">
        <v>102</v>
      </c>
      <c r="L171" s="89" t="s">
        <v>84</v>
      </c>
      <c r="M171" s="89" t="s">
        <v>90</v>
      </c>
      <c r="N171" s="89" t="s">
        <v>937</v>
      </c>
      <c r="O171" s="89" t="s">
        <v>802</v>
      </c>
    </row>
    <row r="172" spans="1:15" x14ac:dyDescent="0.3">
      <c r="A172" s="88">
        <v>181</v>
      </c>
      <c r="B172" s="89" t="s">
        <v>79</v>
      </c>
      <c r="C172" s="236" t="s">
        <v>168</v>
      </c>
      <c r="D172" s="236"/>
      <c r="E172" s="89" t="s">
        <v>100</v>
      </c>
      <c r="F172" s="89" t="s">
        <v>594</v>
      </c>
      <c r="G172" s="89"/>
      <c r="H172" s="89"/>
      <c r="I172" s="89" t="s">
        <v>605</v>
      </c>
      <c r="J172" s="89" t="s">
        <v>606</v>
      </c>
      <c r="K172" s="89" t="s">
        <v>549</v>
      </c>
      <c r="L172" s="89" t="s">
        <v>84</v>
      </c>
      <c r="M172" s="89"/>
      <c r="N172" s="89" t="s">
        <v>938</v>
      </c>
      <c r="O172" s="89" t="s">
        <v>802</v>
      </c>
    </row>
    <row r="173" spans="1:15" x14ac:dyDescent="0.3">
      <c r="A173" s="88">
        <v>182</v>
      </c>
      <c r="B173" s="89" t="s">
        <v>79</v>
      </c>
      <c r="C173" s="236" t="s">
        <v>168</v>
      </c>
      <c r="D173" s="236"/>
      <c r="E173" s="89" t="s">
        <v>100</v>
      </c>
      <c r="F173" s="89" t="s">
        <v>594</v>
      </c>
      <c r="G173" s="89"/>
      <c r="H173" s="89"/>
      <c r="I173" s="89" t="s">
        <v>607</v>
      </c>
      <c r="J173" s="89" t="s">
        <v>608</v>
      </c>
      <c r="K173" s="89" t="s">
        <v>549</v>
      </c>
      <c r="L173" s="89" t="s">
        <v>84</v>
      </c>
      <c r="M173" s="89"/>
      <c r="N173" s="89" t="s">
        <v>939</v>
      </c>
      <c r="O173" s="89" t="s">
        <v>802</v>
      </c>
    </row>
    <row r="174" spans="1:15" x14ac:dyDescent="0.3">
      <c r="A174" s="88">
        <v>183</v>
      </c>
      <c r="B174" s="89" t="s">
        <v>79</v>
      </c>
      <c r="C174" s="236" t="s">
        <v>168</v>
      </c>
      <c r="D174" s="236"/>
      <c r="E174" s="89" t="s">
        <v>100</v>
      </c>
      <c r="F174" s="89" t="s">
        <v>594</v>
      </c>
      <c r="G174" s="89"/>
      <c r="H174" s="89"/>
      <c r="I174" s="89" t="s">
        <v>609</v>
      </c>
      <c r="J174" s="89" t="s">
        <v>610</v>
      </c>
      <c r="K174" s="89" t="s">
        <v>549</v>
      </c>
      <c r="L174" s="89" t="s">
        <v>84</v>
      </c>
      <c r="M174" s="89"/>
      <c r="N174" s="89" t="s">
        <v>940</v>
      </c>
      <c r="O174" s="89" t="s">
        <v>802</v>
      </c>
    </row>
    <row r="175" spans="1:15" x14ac:dyDescent="0.3">
      <c r="A175" s="88">
        <v>184</v>
      </c>
      <c r="B175" s="89" t="s">
        <v>79</v>
      </c>
      <c r="C175" s="236" t="s">
        <v>168</v>
      </c>
      <c r="D175" s="236"/>
      <c r="E175" s="89" t="s">
        <v>100</v>
      </c>
      <c r="F175" s="89" t="s">
        <v>594</v>
      </c>
      <c r="G175" s="89"/>
      <c r="H175" s="89"/>
      <c r="I175" s="89" t="s">
        <v>611</v>
      </c>
      <c r="J175" s="89" t="s">
        <v>612</v>
      </c>
      <c r="K175" s="89" t="s">
        <v>549</v>
      </c>
      <c r="L175" s="89" t="s">
        <v>84</v>
      </c>
      <c r="M175" s="89"/>
      <c r="N175" s="89" t="s">
        <v>941</v>
      </c>
      <c r="O175" s="89" t="s">
        <v>802</v>
      </c>
    </row>
    <row r="176" spans="1:15" ht="40.799999999999997" x14ac:dyDescent="0.3">
      <c r="A176" s="88">
        <v>185</v>
      </c>
      <c r="B176" s="89" t="s">
        <v>79</v>
      </c>
      <c r="C176" s="236" t="s">
        <v>168</v>
      </c>
      <c r="D176" s="236"/>
      <c r="E176" s="89" t="s">
        <v>100</v>
      </c>
      <c r="F176" s="89" t="s">
        <v>594</v>
      </c>
      <c r="G176" s="89" t="s">
        <v>245</v>
      </c>
      <c r="H176" s="89"/>
      <c r="I176" s="89" t="s">
        <v>576</v>
      </c>
      <c r="J176" s="89" t="s">
        <v>577</v>
      </c>
      <c r="K176" s="89" t="s">
        <v>102</v>
      </c>
      <c r="L176" s="89" t="s">
        <v>84</v>
      </c>
      <c r="M176" s="89" t="s">
        <v>90</v>
      </c>
      <c r="N176" s="89" t="s">
        <v>805</v>
      </c>
      <c r="O176" s="89" t="s">
        <v>802</v>
      </c>
    </row>
    <row r="177" spans="1:15" ht="40.799999999999997" x14ac:dyDescent="0.3">
      <c r="A177" s="88">
        <v>186</v>
      </c>
      <c r="B177" s="89" t="s">
        <v>79</v>
      </c>
      <c r="C177" s="236" t="s">
        <v>168</v>
      </c>
      <c r="D177" s="236"/>
      <c r="E177" s="89" t="s">
        <v>100</v>
      </c>
      <c r="F177" s="89" t="s">
        <v>594</v>
      </c>
      <c r="G177" s="89" t="s">
        <v>245</v>
      </c>
      <c r="H177" s="89"/>
      <c r="I177" s="89" t="s">
        <v>505</v>
      </c>
      <c r="J177" s="89" t="s">
        <v>506</v>
      </c>
      <c r="K177" s="89" t="s">
        <v>102</v>
      </c>
      <c r="L177" s="89" t="s">
        <v>84</v>
      </c>
      <c r="M177" s="89" t="s">
        <v>90</v>
      </c>
      <c r="N177" s="89" t="s">
        <v>879</v>
      </c>
      <c r="O177" s="89" t="s">
        <v>802</v>
      </c>
    </row>
    <row r="178" spans="1:15" ht="40.799999999999997" x14ac:dyDescent="0.3">
      <c r="A178" s="88">
        <v>187</v>
      </c>
      <c r="B178" s="89" t="s">
        <v>79</v>
      </c>
      <c r="C178" s="236" t="s">
        <v>168</v>
      </c>
      <c r="D178" s="236"/>
      <c r="E178" s="89" t="s">
        <v>100</v>
      </c>
      <c r="F178" s="89" t="s">
        <v>594</v>
      </c>
      <c r="G178" s="89" t="s">
        <v>245</v>
      </c>
      <c r="H178" s="89"/>
      <c r="I178" s="89" t="s">
        <v>592</v>
      </c>
      <c r="J178" s="89" t="s">
        <v>593</v>
      </c>
      <c r="K178" s="89" t="s">
        <v>102</v>
      </c>
      <c r="L178" s="89" t="s">
        <v>84</v>
      </c>
      <c r="M178" s="89" t="s">
        <v>90</v>
      </c>
      <c r="N178" s="89" t="s">
        <v>942</v>
      </c>
      <c r="O178" s="89" t="s">
        <v>802</v>
      </c>
    </row>
    <row r="179" spans="1:15" x14ac:dyDescent="0.3">
      <c r="A179" s="88">
        <v>188</v>
      </c>
      <c r="B179" s="89" t="s">
        <v>79</v>
      </c>
      <c r="C179" s="236" t="s">
        <v>168</v>
      </c>
      <c r="D179" s="236"/>
      <c r="E179" s="89" t="s">
        <v>100</v>
      </c>
      <c r="F179" s="89" t="s">
        <v>594</v>
      </c>
      <c r="G179" s="89" t="s">
        <v>245</v>
      </c>
      <c r="H179" s="89"/>
      <c r="I179" s="89" t="s">
        <v>943</v>
      </c>
      <c r="J179" s="89" t="s">
        <v>944</v>
      </c>
      <c r="K179" s="89" t="s">
        <v>558</v>
      </c>
      <c r="L179" s="89" t="s">
        <v>84</v>
      </c>
      <c r="M179" s="89"/>
      <c r="N179" s="89" t="s">
        <v>945</v>
      </c>
      <c r="O179" s="89" t="s">
        <v>802</v>
      </c>
    </row>
    <row r="180" spans="1:15" ht="40.799999999999997" x14ac:dyDescent="0.3">
      <c r="A180" s="88">
        <v>189</v>
      </c>
      <c r="B180" s="89" t="s">
        <v>79</v>
      </c>
      <c r="C180" s="236" t="s">
        <v>168</v>
      </c>
      <c r="D180" s="236"/>
      <c r="E180" s="89" t="s">
        <v>100</v>
      </c>
      <c r="F180" s="89" t="s">
        <v>613</v>
      </c>
      <c r="G180" s="89"/>
      <c r="H180" s="89"/>
      <c r="I180" s="89" t="s">
        <v>787</v>
      </c>
      <c r="J180" s="89" t="s">
        <v>788</v>
      </c>
      <c r="K180" s="89" t="s">
        <v>102</v>
      </c>
      <c r="L180" s="89" t="s">
        <v>84</v>
      </c>
      <c r="M180" s="89" t="s">
        <v>90</v>
      </c>
      <c r="N180" s="89" t="s">
        <v>946</v>
      </c>
      <c r="O180" s="89" t="s">
        <v>802</v>
      </c>
    </row>
    <row r="181" spans="1:15" ht="40.799999999999997" x14ac:dyDescent="0.3">
      <c r="A181" s="88">
        <v>190</v>
      </c>
      <c r="B181" s="89" t="s">
        <v>79</v>
      </c>
      <c r="C181" s="236" t="s">
        <v>168</v>
      </c>
      <c r="D181" s="236"/>
      <c r="E181" s="89" t="s">
        <v>100</v>
      </c>
      <c r="F181" s="89" t="s">
        <v>613</v>
      </c>
      <c r="G181" s="89"/>
      <c r="H181" s="89"/>
      <c r="I181" s="89" t="s">
        <v>614</v>
      </c>
      <c r="J181" s="89" t="s">
        <v>615</v>
      </c>
      <c r="K181" s="89" t="s">
        <v>102</v>
      </c>
      <c r="L181" s="89" t="s">
        <v>84</v>
      </c>
      <c r="M181" s="89" t="s">
        <v>90</v>
      </c>
      <c r="N181" s="89" t="s">
        <v>947</v>
      </c>
      <c r="O181" s="89" t="s">
        <v>802</v>
      </c>
    </row>
    <row r="182" spans="1:15" ht="40.799999999999997" x14ac:dyDescent="0.3">
      <c r="A182" s="88">
        <v>191</v>
      </c>
      <c r="B182" s="89" t="s">
        <v>79</v>
      </c>
      <c r="C182" s="236" t="s">
        <v>168</v>
      </c>
      <c r="D182" s="236"/>
      <c r="E182" s="89" t="s">
        <v>100</v>
      </c>
      <c r="F182" s="89" t="s">
        <v>613</v>
      </c>
      <c r="G182" s="89"/>
      <c r="H182" s="89"/>
      <c r="I182" s="89" t="s">
        <v>616</v>
      </c>
      <c r="J182" s="89" t="s">
        <v>617</v>
      </c>
      <c r="K182" s="89" t="s">
        <v>102</v>
      </c>
      <c r="L182" s="89" t="s">
        <v>84</v>
      </c>
      <c r="M182" s="89" t="s">
        <v>90</v>
      </c>
      <c r="N182" s="89" t="s">
        <v>932</v>
      </c>
      <c r="O182" s="89" t="s">
        <v>802</v>
      </c>
    </row>
    <row r="183" spans="1:15" ht="40.799999999999997" x14ac:dyDescent="0.3">
      <c r="A183" s="88">
        <v>192</v>
      </c>
      <c r="B183" s="89" t="s">
        <v>79</v>
      </c>
      <c r="C183" s="236" t="s">
        <v>168</v>
      </c>
      <c r="D183" s="236"/>
      <c r="E183" s="89" t="s">
        <v>100</v>
      </c>
      <c r="F183" s="89" t="s">
        <v>613</v>
      </c>
      <c r="G183" s="89"/>
      <c r="H183" s="89"/>
      <c r="I183" s="89" t="s">
        <v>618</v>
      </c>
      <c r="J183" s="89" t="s">
        <v>619</v>
      </c>
      <c r="K183" s="89" t="s">
        <v>102</v>
      </c>
      <c r="L183" s="89" t="s">
        <v>84</v>
      </c>
      <c r="M183" s="89" t="s">
        <v>90</v>
      </c>
      <c r="N183" s="89" t="s">
        <v>904</v>
      </c>
      <c r="O183" s="89" t="s">
        <v>802</v>
      </c>
    </row>
    <row r="184" spans="1:15" ht="40.799999999999997" x14ac:dyDescent="0.3">
      <c r="A184" s="88">
        <v>193</v>
      </c>
      <c r="B184" s="89" t="s">
        <v>79</v>
      </c>
      <c r="C184" s="236" t="s">
        <v>168</v>
      </c>
      <c r="D184" s="236"/>
      <c r="E184" s="89" t="s">
        <v>100</v>
      </c>
      <c r="F184" s="89" t="s">
        <v>613</v>
      </c>
      <c r="G184" s="89"/>
      <c r="H184" s="89"/>
      <c r="I184" s="89" t="s">
        <v>620</v>
      </c>
      <c r="J184" s="89" t="s">
        <v>621</v>
      </c>
      <c r="K184" s="89" t="s">
        <v>102</v>
      </c>
      <c r="L184" s="89" t="s">
        <v>84</v>
      </c>
      <c r="M184" s="89" t="s">
        <v>90</v>
      </c>
      <c r="N184" s="89" t="s">
        <v>948</v>
      </c>
      <c r="O184" s="89" t="s">
        <v>802</v>
      </c>
    </row>
    <row r="185" spans="1:15" ht="40.799999999999997" x14ac:dyDescent="0.3">
      <c r="A185" s="88">
        <v>194</v>
      </c>
      <c r="B185" s="89" t="s">
        <v>79</v>
      </c>
      <c r="C185" s="236" t="s">
        <v>168</v>
      </c>
      <c r="D185" s="236"/>
      <c r="E185" s="89" t="s">
        <v>100</v>
      </c>
      <c r="F185" s="89" t="s">
        <v>613</v>
      </c>
      <c r="G185" s="89"/>
      <c r="H185" s="89"/>
      <c r="I185" s="89" t="s">
        <v>622</v>
      </c>
      <c r="J185" s="89" t="s">
        <v>623</v>
      </c>
      <c r="K185" s="89" t="s">
        <v>102</v>
      </c>
      <c r="L185" s="89" t="s">
        <v>84</v>
      </c>
      <c r="M185" s="89" t="s">
        <v>90</v>
      </c>
      <c r="N185" s="89" t="s">
        <v>858</v>
      </c>
      <c r="O185" s="89" t="s">
        <v>802</v>
      </c>
    </row>
    <row r="186" spans="1:15" x14ac:dyDescent="0.3">
      <c r="A186" s="88">
        <v>195</v>
      </c>
      <c r="B186" s="89" t="s">
        <v>79</v>
      </c>
      <c r="C186" s="236" t="s">
        <v>168</v>
      </c>
      <c r="D186" s="236"/>
      <c r="E186" s="89" t="s">
        <v>100</v>
      </c>
      <c r="F186" s="89" t="s">
        <v>613</v>
      </c>
      <c r="G186" s="89"/>
      <c r="H186" s="89"/>
      <c r="I186" s="89" t="s">
        <v>624</v>
      </c>
      <c r="J186" s="89" t="s">
        <v>625</v>
      </c>
      <c r="K186" s="89" t="s">
        <v>558</v>
      </c>
      <c r="L186" s="89" t="s">
        <v>84</v>
      </c>
      <c r="M186" s="89"/>
      <c r="N186" s="89" t="s">
        <v>949</v>
      </c>
      <c r="O186" s="89" t="s">
        <v>802</v>
      </c>
    </row>
    <row r="187" spans="1:15" ht="20.399999999999999" x14ac:dyDescent="0.3">
      <c r="A187" s="88">
        <v>196</v>
      </c>
      <c r="B187" s="89" t="s">
        <v>79</v>
      </c>
      <c r="C187" s="236" t="s">
        <v>168</v>
      </c>
      <c r="D187" s="236"/>
      <c r="E187" s="89" t="s">
        <v>130</v>
      </c>
      <c r="F187" s="89"/>
      <c r="G187" s="89"/>
      <c r="H187" s="89"/>
      <c r="I187" s="89" t="s">
        <v>626</v>
      </c>
      <c r="J187" s="89" t="s">
        <v>627</v>
      </c>
      <c r="K187" s="89" t="s">
        <v>131</v>
      </c>
      <c r="L187" s="89" t="s">
        <v>98</v>
      </c>
      <c r="M187" s="89"/>
      <c r="N187" s="89" t="s">
        <v>950</v>
      </c>
      <c r="O187" s="89" t="s">
        <v>802</v>
      </c>
    </row>
    <row r="188" spans="1:15" x14ac:dyDescent="0.3">
      <c r="A188" s="88">
        <v>197</v>
      </c>
      <c r="B188" s="89" t="s">
        <v>79</v>
      </c>
      <c r="C188" s="236" t="s">
        <v>168</v>
      </c>
      <c r="D188" s="236"/>
      <c r="E188" s="89" t="s">
        <v>130</v>
      </c>
      <c r="F188" s="89" t="s">
        <v>132</v>
      </c>
      <c r="G188" s="89"/>
      <c r="H188" s="89"/>
      <c r="I188" s="89" t="s">
        <v>659</v>
      </c>
      <c r="J188" s="89" t="s">
        <v>660</v>
      </c>
      <c r="K188" s="89" t="s">
        <v>133</v>
      </c>
      <c r="L188" s="89" t="s">
        <v>98</v>
      </c>
      <c r="M188" s="89"/>
      <c r="N188" s="89" t="s">
        <v>951</v>
      </c>
      <c r="O188" s="89" t="s">
        <v>802</v>
      </c>
    </row>
    <row r="189" spans="1:15" x14ac:dyDescent="0.3">
      <c r="A189" s="88">
        <v>198</v>
      </c>
      <c r="B189" s="89" t="s">
        <v>79</v>
      </c>
      <c r="C189" s="236" t="s">
        <v>168</v>
      </c>
      <c r="D189" s="236"/>
      <c r="E189" s="89" t="s">
        <v>130</v>
      </c>
      <c r="F189" s="89" t="s">
        <v>132</v>
      </c>
      <c r="G189" s="89"/>
      <c r="H189" s="89"/>
      <c r="I189" s="89" t="s">
        <v>628</v>
      </c>
      <c r="J189" s="89" t="s">
        <v>629</v>
      </c>
      <c r="K189" s="89" t="s">
        <v>133</v>
      </c>
      <c r="L189" s="89" t="s">
        <v>98</v>
      </c>
      <c r="M189" s="89"/>
      <c r="N189" s="89" t="s">
        <v>949</v>
      </c>
      <c r="O189" s="89" t="s">
        <v>802</v>
      </c>
    </row>
    <row r="190" spans="1:15" x14ac:dyDescent="0.3">
      <c r="A190" s="88">
        <v>199</v>
      </c>
      <c r="B190" s="89" t="s">
        <v>79</v>
      </c>
      <c r="C190" s="236" t="s">
        <v>168</v>
      </c>
      <c r="D190" s="236"/>
      <c r="E190" s="89" t="s">
        <v>130</v>
      </c>
      <c r="F190" s="89" t="s">
        <v>132</v>
      </c>
      <c r="G190" s="89"/>
      <c r="H190" s="89"/>
      <c r="I190" s="89" t="s">
        <v>630</v>
      </c>
      <c r="J190" s="89" t="s">
        <v>631</v>
      </c>
      <c r="K190" s="89" t="s">
        <v>133</v>
      </c>
      <c r="L190" s="89" t="s">
        <v>98</v>
      </c>
      <c r="M190" s="89"/>
      <c r="N190" s="89" t="s">
        <v>817</v>
      </c>
      <c r="O190" s="89" t="s">
        <v>802</v>
      </c>
    </row>
    <row r="191" spans="1:15" x14ac:dyDescent="0.3">
      <c r="A191" s="88">
        <v>200</v>
      </c>
      <c r="B191" s="89" t="s">
        <v>79</v>
      </c>
      <c r="C191" s="236" t="s">
        <v>168</v>
      </c>
      <c r="D191" s="236"/>
      <c r="E191" s="89" t="s">
        <v>130</v>
      </c>
      <c r="F191" s="89" t="s">
        <v>132</v>
      </c>
      <c r="G191" s="89"/>
      <c r="H191" s="89"/>
      <c r="I191" s="89" t="s">
        <v>632</v>
      </c>
      <c r="J191" s="89" t="s">
        <v>633</v>
      </c>
      <c r="K191" s="89" t="s">
        <v>634</v>
      </c>
      <c r="L191" s="89" t="s">
        <v>98</v>
      </c>
      <c r="M191" s="89"/>
      <c r="N191" s="89" t="s">
        <v>952</v>
      </c>
      <c r="O191" s="89" t="s">
        <v>802</v>
      </c>
    </row>
    <row r="192" spans="1:15" x14ac:dyDescent="0.3">
      <c r="A192" s="88">
        <v>201</v>
      </c>
      <c r="B192" s="89" t="s">
        <v>79</v>
      </c>
      <c r="C192" s="236" t="s">
        <v>168</v>
      </c>
      <c r="D192" s="236"/>
      <c r="E192" s="89" t="s">
        <v>130</v>
      </c>
      <c r="F192" s="89" t="s">
        <v>132</v>
      </c>
      <c r="G192" s="89"/>
      <c r="H192" s="89"/>
      <c r="I192" s="89" t="s">
        <v>635</v>
      </c>
      <c r="J192" s="89" t="s">
        <v>636</v>
      </c>
      <c r="K192" s="89" t="s">
        <v>634</v>
      </c>
      <c r="L192" s="89" t="s">
        <v>98</v>
      </c>
      <c r="M192" s="89"/>
      <c r="N192" s="89" t="s">
        <v>953</v>
      </c>
      <c r="O192" s="89" t="s">
        <v>841</v>
      </c>
    </row>
    <row r="193" spans="1:15" x14ac:dyDescent="0.3">
      <c r="A193" s="88">
        <v>202</v>
      </c>
      <c r="B193" s="89" t="s">
        <v>79</v>
      </c>
      <c r="C193" s="236" t="s">
        <v>168</v>
      </c>
      <c r="D193" s="236"/>
      <c r="E193" s="89" t="s">
        <v>130</v>
      </c>
      <c r="F193" s="89" t="s">
        <v>132</v>
      </c>
      <c r="G193" s="89"/>
      <c r="H193" s="89"/>
      <c r="I193" s="89" t="s">
        <v>637</v>
      </c>
      <c r="J193" s="89" t="s">
        <v>638</v>
      </c>
      <c r="K193" s="89" t="s">
        <v>634</v>
      </c>
      <c r="L193" s="89" t="s">
        <v>98</v>
      </c>
      <c r="M193" s="89"/>
      <c r="N193" s="89" t="s">
        <v>954</v>
      </c>
      <c r="O193" s="89" t="s">
        <v>802</v>
      </c>
    </row>
    <row r="194" spans="1:15" x14ac:dyDescent="0.3">
      <c r="A194" s="88">
        <v>203</v>
      </c>
      <c r="B194" s="89" t="s">
        <v>79</v>
      </c>
      <c r="C194" s="236" t="s">
        <v>168</v>
      </c>
      <c r="D194" s="236"/>
      <c r="E194" s="89" t="s">
        <v>130</v>
      </c>
      <c r="F194" s="89" t="s">
        <v>132</v>
      </c>
      <c r="G194" s="89"/>
      <c r="H194" s="89"/>
      <c r="I194" s="89" t="s">
        <v>639</v>
      </c>
      <c r="J194" s="89" t="s">
        <v>640</v>
      </c>
      <c r="K194" s="89" t="s">
        <v>634</v>
      </c>
      <c r="L194" s="89" t="s">
        <v>98</v>
      </c>
      <c r="M194" s="89"/>
      <c r="N194" s="89" t="s">
        <v>955</v>
      </c>
      <c r="O194" s="89" t="s">
        <v>802</v>
      </c>
    </row>
    <row r="195" spans="1:15" x14ac:dyDescent="0.3">
      <c r="A195" s="88">
        <v>204</v>
      </c>
      <c r="B195" s="89" t="s">
        <v>79</v>
      </c>
      <c r="C195" s="236" t="s">
        <v>168</v>
      </c>
      <c r="D195" s="236"/>
      <c r="E195" s="89" t="s">
        <v>130</v>
      </c>
      <c r="F195" s="89" t="s">
        <v>132</v>
      </c>
      <c r="G195" s="89"/>
      <c r="H195" s="89"/>
      <c r="I195" s="89" t="s">
        <v>641</v>
      </c>
      <c r="J195" s="89" t="s">
        <v>642</v>
      </c>
      <c r="K195" s="89" t="s">
        <v>134</v>
      </c>
      <c r="L195" s="89" t="s">
        <v>98</v>
      </c>
      <c r="M195" s="89"/>
      <c r="N195" s="89" t="s">
        <v>956</v>
      </c>
      <c r="O195" s="89" t="s">
        <v>957</v>
      </c>
    </row>
    <row r="196" spans="1:15" x14ac:dyDescent="0.3">
      <c r="A196" s="88">
        <v>205</v>
      </c>
      <c r="B196" s="89" t="s">
        <v>79</v>
      </c>
      <c r="C196" s="236" t="s">
        <v>168</v>
      </c>
      <c r="D196" s="236"/>
      <c r="E196" s="89" t="s">
        <v>130</v>
      </c>
      <c r="F196" s="89" t="s">
        <v>132</v>
      </c>
      <c r="G196" s="89"/>
      <c r="H196" s="89"/>
      <c r="I196" s="89" t="s">
        <v>643</v>
      </c>
      <c r="J196" s="89" t="s">
        <v>644</v>
      </c>
      <c r="K196" s="89" t="s">
        <v>134</v>
      </c>
      <c r="L196" s="89" t="s">
        <v>98</v>
      </c>
      <c r="M196" s="89"/>
      <c r="N196" s="89" t="s">
        <v>958</v>
      </c>
      <c r="O196" s="89" t="s">
        <v>802</v>
      </c>
    </row>
    <row r="197" spans="1:15" x14ac:dyDescent="0.3">
      <c r="A197" s="88">
        <v>206</v>
      </c>
      <c r="B197" s="89" t="s">
        <v>79</v>
      </c>
      <c r="C197" s="236" t="s">
        <v>168</v>
      </c>
      <c r="D197" s="236"/>
      <c r="E197" s="89" t="s">
        <v>130</v>
      </c>
      <c r="F197" s="89" t="s">
        <v>132</v>
      </c>
      <c r="G197" s="89"/>
      <c r="H197" s="89"/>
      <c r="I197" s="89" t="s">
        <v>645</v>
      </c>
      <c r="J197" s="89" t="s">
        <v>646</v>
      </c>
      <c r="K197" s="89" t="s">
        <v>134</v>
      </c>
      <c r="L197" s="89" t="s">
        <v>98</v>
      </c>
      <c r="M197" s="89"/>
      <c r="N197" s="89" t="s">
        <v>959</v>
      </c>
      <c r="O197" s="89" t="s">
        <v>960</v>
      </c>
    </row>
    <row r="198" spans="1:15" x14ac:dyDescent="0.3">
      <c r="A198" s="88">
        <v>207</v>
      </c>
      <c r="B198" s="89" t="s">
        <v>79</v>
      </c>
      <c r="C198" s="236" t="s">
        <v>168</v>
      </c>
      <c r="D198" s="236"/>
      <c r="E198" s="89" t="s">
        <v>130</v>
      </c>
      <c r="F198" s="89" t="s">
        <v>132</v>
      </c>
      <c r="G198" s="89"/>
      <c r="H198" s="89"/>
      <c r="I198" s="89" t="s">
        <v>647</v>
      </c>
      <c r="J198" s="89" t="s">
        <v>648</v>
      </c>
      <c r="K198" s="89" t="s">
        <v>135</v>
      </c>
      <c r="L198" s="89" t="s">
        <v>98</v>
      </c>
      <c r="M198" s="89"/>
      <c r="N198" s="89" t="s">
        <v>961</v>
      </c>
      <c r="O198" s="89" t="s">
        <v>802</v>
      </c>
    </row>
    <row r="199" spans="1:15" x14ac:dyDescent="0.3">
      <c r="A199" s="88">
        <v>208</v>
      </c>
      <c r="B199" s="89" t="s">
        <v>79</v>
      </c>
      <c r="C199" s="236" t="s">
        <v>168</v>
      </c>
      <c r="D199" s="236"/>
      <c r="E199" s="89" t="s">
        <v>130</v>
      </c>
      <c r="F199" s="89" t="s">
        <v>132</v>
      </c>
      <c r="G199" s="89"/>
      <c r="H199" s="89"/>
      <c r="I199" s="89" t="s">
        <v>649</v>
      </c>
      <c r="J199" s="89" t="s">
        <v>650</v>
      </c>
      <c r="K199" s="89" t="s">
        <v>136</v>
      </c>
      <c r="L199" s="89" t="s">
        <v>98</v>
      </c>
      <c r="M199" s="89"/>
      <c r="N199" s="89" t="s">
        <v>958</v>
      </c>
      <c r="O199" s="89" t="s">
        <v>802</v>
      </c>
    </row>
    <row r="200" spans="1:15" x14ac:dyDescent="0.3">
      <c r="A200" s="88">
        <v>209</v>
      </c>
      <c r="B200" s="89" t="s">
        <v>79</v>
      </c>
      <c r="C200" s="236" t="s">
        <v>168</v>
      </c>
      <c r="D200" s="236"/>
      <c r="E200" s="89" t="s">
        <v>130</v>
      </c>
      <c r="F200" s="89" t="s">
        <v>132</v>
      </c>
      <c r="G200" s="89"/>
      <c r="H200" s="89"/>
      <c r="I200" s="89" t="s">
        <v>651</v>
      </c>
      <c r="J200" s="89" t="s">
        <v>652</v>
      </c>
      <c r="K200" s="89" t="s">
        <v>136</v>
      </c>
      <c r="L200" s="89" t="s">
        <v>98</v>
      </c>
      <c r="M200" s="89"/>
      <c r="N200" s="89" t="s">
        <v>821</v>
      </c>
      <c r="O200" s="89" t="s">
        <v>802</v>
      </c>
    </row>
    <row r="201" spans="1:15" x14ac:dyDescent="0.3">
      <c r="A201" s="88">
        <v>210</v>
      </c>
      <c r="B201" s="89" t="s">
        <v>79</v>
      </c>
      <c r="C201" s="236" t="s">
        <v>168</v>
      </c>
      <c r="D201" s="236"/>
      <c r="E201" s="89" t="s">
        <v>130</v>
      </c>
      <c r="F201" s="89" t="s">
        <v>132</v>
      </c>
      <c r="G201" s="89"/>
      <c r="H201" s="89"/>
      <c r="I201" s="89" t="s">
        <v>653</v>
      </c>
      <c r="J201" s="89" t="s">
        <v>654</v>
      </c>
      <c r="K201" s="89" t="s">
        <v>136</v>
      </c>
      <c r="L201" s="89" t="s">
        <v>98</v>
      </c>
      <c r="M201" s="89"/>
      <c r="N201" s="89" t="s">
        <v>962</v>
      </c>
      <c r="O201" s="89" t="s">
        <v>802</v>
      </c>
    </row>
    <row r="202" spans="1:15" x14ac:dyDescent="0.3">
      <c r="A202" s="88">
        <v>211</v>
      </c>
      <c r="B202" s="89" t="s">
        <v>79</v>
      </c>
      <c r="C202" s="236" t="s">
        <v>168</v>
      </c>
      <c r="D202" s="236"/>
      <c r="E202" s="89" t="s">
        <v>130</v>
      </c>
      <c r="F202" s="89" t="s">
        <v>132</v>
      </c>
      <c r="G202" s="89"/>
      <c r="H202" s="89"/>
      <c r="I202" s="89" t="s">
        <v>655</v>
      </c>
      <c r="J202" s="89" t="s">
        <v>656</v>
      </c>
      <c r="K202" s="89" t="s">
        <v>136</v>
      </c>
      <c r="L202" s="89" t="s">
        <v>98</v>
      </c>
      <c r="M202" s="89"/>
      <c r="N202" s="89" t="s">
        <v>963</v>
      </c>
      <c r="O202" s="89" t="s">
        <v>964</v>
      </c>
    </row>
    <row r="203" spans="1:15" x14ac:dyDescent="0.3">
      <c r="A203" s="88">
        <v>212</v>
      </c>
      <c r="B203" s="89" t="s">
        <v>79</v>
      </c>
      <c r="C203" s="236" t="s">
        <v>168</v>
      </c>
      <c r="D203" s="236"/>
      <c r="E203" s="89" t="s">
        <v>130</v>
      </c>
      <c r="F203" s="89" t="s">
        <v>132</v>
      </c>
      <c r="G203" s="89"/>
      <c r="H203" s="89"/>
      <c r="I203" s="89" t="s">
        <v>657</v>
      </c>
      <c r="J203" s="89" t="s">
        <v>658</v>
      </c>
      <c r="K203" s="89" t="s">
        <v>136</v>
      </c>
      <c r="L203" s="89" t="s">
        <v>98</v>
      </c>
      <c r="M203" s="89"/>
      <c r="N203" s="89" t="s">
        <v>965</v>
      </c>
      <c r="O203" s="89" t="s">
        <v>802</v>
      </c>
    </row>
    <row r="204" spans="1:15" ht="20.399999999999999" x14ac:dyDescent="0.3">
      <c r="A204" s="88">
        <v>213</v>
      </c>
      <c r="B204" s="89" t="s">
        <v>79</v>
      </c>
      <c r="C204" s="236" t="s">
        <v>168</v>
      </c>
      <c r="D204" s="236"/>
      <c r="E204" s="89" t="s">
        <v>130</v>
      </c>
      <c r="F204" s="89" t="s">
        <v>132</v>
      </c>
      <c r="G204" s="89"/>
      <c r="H204" s="89"/>
      <c r="I204" s="89" t="s">
        <v>966</v>
      </c>
      <c r="J204" s="89" t="s">
        <v>967</v>
      </c>
      <c r="K204" s="89" t="s">
        <v>968</v>
      </c>
      <c r="L204" s="89" t="s">
        <v>98</v>
      </c>
      <c r="M204" s="89"/>
      <c r="N204" s="89" t="s">
        <v>945</v>
      </c>
      <c r="O204" s="89" t="s">
        <v>802</v>
      </c>
    </row>
    <row r="205" spans="1:15" x14ac:dyDescent="0.3">
      <c r="A205" s="88">
        <v>214</v>
      </c>
      <c r="B205" s="89" t="s">
        <v>79</v>
      </c>
      <c r="C205" s="236" t="s">
        <v>168</v>
      </c>
      <c r="D205" s="236"/>
      <c r="E205" s="89" t="s">
        <v>130</v>
      </c>
      <c r="F205" s="89" t="s">
        <v>132</v>
      </c>
      <c r="G205" s="89"/>
      <c r="H205" s="89"/>
      <c r="I205" s="89" t="s">
        <v>789</v>
      </c>
      <c r="J205" s="89" t="s">
        <v>790</v>
      </c>
      <c r="K205" s="89" t="s">
        <v>303</v>
      </c>
      <c r="L205" s="89" t="s">
        <v>98</v>
      </c>
      <c r="M205" s="89"/>
      <c r="N205" s="89" t="s">
        <v>969</v>
      </c>
      <c r="O205" s="89" t="s">
        <v>802</v>
      </c>
    </row>
    <row r="206" spans="1:15" x14ac:dyDescent="0.3">
      <c r="A206" s="88">
        <v>215</v>
      </c>
      <c r="B206" s="89" t="s">
        <v>79</v>
      </c>
      <c r="C206" s="236" t="s">
        <v>168</v>
      </c>
      <c r="D206" s="236"/>
      <c r="E206" s="89" t="s">
        <v>130</v>
      </c>
      <c r="F206" s="89" t="s">
        <v>132</v>
      </c>
      <c r="G206" s="89"/>
      <c r="H206" s="89"/>
      <c r="I206" s="89" t="s">
        <v>661</v>
      </c>
      <c r="J206" s="89" t="s">
        <v>662</v>
      </c>
      <c r="K206" s="89" t="s">
        <v>303</v>
      </c>
      <c r="L206" s="89" t="s">
        <v>98</v>
      </c>
      <c r="M206" s="89"/>
      <c r="N206" s="89" t="s">
        <v>952</v>
      </c>
      <c r="O206" s="89" t="s">
        <v>802</v>
      </c>
    </row>
    <row r="207" spans="1:15" ht="20.399999999999999" x14ac:dyDescent="0.3">
      <c r="A207" s="88">
        <v>216</v>
      </c>
      <c r="B207" s="89" t="s">
        <v>79</v>
      </c>
      <c r="C207" s="236" t="s">
        <v>168</v>
      </c>
      <c r="D207" s="236"/>
      <c r="E207" s="89" t="s">
        <v>130</v>
      </c>
      <c r="F207" s="89" t="s">
        <v>132</v>
      </c>
      <c r="G207" s="89"/>
      <c r="H207" s="89"/>
      <c r="I207" s="89" t="s">
        <v>663</v>
      </c>
      <c r="J207" s="89" t="s">
        <v>664</v>
      </c>
      <c r="K207" s="89" t="s">
        <v>665</v>
      </c>
      <c r="L207" s="89" t="s">
        <v>98</v>
      </c>
      <c r="M207" s="89"/>
      <c r="N207" s="89" t="s">
        <v>970</v>
      </c>
      <c r="O207" s="89" t="s">
        <v>802</v>
      </c>
    </row>
    <row r="208" spans="1:15" x14ac:dyDescent="0.3">
      <c r="A208" s="88">
        <v>217</v>
      </c>
      <c r="B208" s="89" t="s">
        <v>79</v>
      </c>
      <c r="C208" s="236" t="s">
        <v>168</v>
      </c>
      <c r="D208" s="236"/>
      <c r="E208" s="89" t="s">
        <v>130</v>
      </c>
      <c r="F208" s="89" t="s">
        <v>132</v>
      </c>
      <c r="G208" s="89"/>
      <c r="H208" s="89"/>
      <c r="I208" s="89" t="s">
        <v>487</v>
      </c>
      <c r="J208" s="89" t="s">
        <v>488</v>
      </c>
      <c r="K208" s="89" t="s">
        <v>971</v>
      </c>
      <c r="L208" s="89" t="s">
        <v>98</v>
      </c>
      <c r="M208" s="89"/>
      <c r="N208" s="89" t="s">
        <v>972</v>
      </c>
      <c r="O208" s="89" t="s">
        <v>802</v>
      </c>
    </row>
    <row r="209" spans="1:15" ht="20.399999999999999" x14ac:dyDescent="0.3">
      <c r="A209" s="88">
        <v>218</v>
      </c>
      <c r="B209" s="89" t="s">
        <v>79</v>
      </c>
      <c r="C209" s="236" t="s">
        <v>168</v>
      </c>
      <c r="D209" s="236"/>
      <c r="E209" s="89" t="s">
        <v>91</v>
      </c>
      <c r="F209" s="89"/>
      <c r="G209" s="89"/>
      <c r="H209" s="89"/>
      <c r="I209" s="89" t="s">
        <v>666</v>
      </c>
      <c r="J209" s="89" t="s">
        <v>667</v>
      </c>
      <c r="K209" s="89" t="s">
        <v>668</v>
      </c>
      <c r="L209" s="89" t="s">
        <v>98</v>
      </c>
      <c r="M209" s="89"/>
      <c r="N209" s="89" t="s">
        <v>973</v>
      </c>
      <c r="O209" s="89" t="s">
        <v>802</v>
      </c>
    </row>
    <row r="210" spans="1:15" ht="20.399999999999999" x14ac:dyDescent="0.3">
      <c r="A210" s="88">
        <v>219</v>
      </c>
      <c r="B210" s="89" t="s">
        <v>79</v>
      </c>
      <c r="C210" s="236" t="s">
        <v>168</v>
      </c>
      <c r="D210" s="236"/>
      <c r="E210" s="89" t="s">
        <v>91</v>
      </c>
      <c r="F210" s="89" t="s">
        <v>16</v>
      </c>
      <c r="G210" s="89"/>
      <c r="H210" s="89"/>
      <c r="I210" s="89" t="s">
        <v>669</v>
      </c>
      <c r="J210" s="89" t="s">
        <v>670</v>
      </c>
      <c r="K210" s="89" t="s">
        <v>92</v>
      </c>
      <c r="L210" s="89" t="s">
        <v>93</v>
      </c>
      <c r="M210" s="89" t="s">
        <v>94</v>
      </c>
      <c r="N210" s="89" t="s">
        <v>974</v>
      </c>
      <c r="O210" s="89" t="s">
        <v>802</v>
      </c>
    </row>
    <row r="211" spans="1:15" ht="20.399999999999999" x14ac:dyDescent="0.3">
      <c r="A211" s="88">
        <v>220</v>
      </c>
      <c r="B211" s="89" t="s">
        <v>79</v>
      </c>
      <c r="C211" s="236" t="s">
        <v>168</v>
      </c>
      <c r="D211" s="236"/>
      <c r="E211" s="89" t="s">
        <v>91</v>
      </c>
      <c r="F211" s="89" t="s">
        <v>16</v>
      </c>
      <c r="G211" s="89"/>
      <c r="H211" s="89"/>
      <c r="I211" s="89" t="s">
        <v>671</v>
      </c>
      <c r="J211" s="89" t="s">
        <v>672</v>
      </c>
      <c r="K211" s="89" t="s">
        <v>92</v>
      </c>
      <c r="L211" s="89" t="s">
        <v>93</v>
      </c>
      <c r="M211" s="89" t="s">
        <v>94</v>
      </c>
      <c r="N211" s="89" t="s">
        <v>975</v>
      </c>
      <c r="O211" s="89" t="s">
        <v>802</v>
      </c>
    </row>
    <row r="212" spans="1:15" ht="20.399999999999999" x14ac:dyDescent="0.3">
      <c r="A212" s="88">
        <v>221</v>
      </c>
      <c r="B212" s="89" t="s">
        <v>79</v>
      </c>
      <c r="C212" s="236" t="s">
        <v>168</v>
      </c>
      <c r="D212" s="236"/>
      <c r="E212" s="89" t="s">
        <v>91</v>
      </c>
      <c r="F212" s="89" t="s">
        <v>16</v>
      </c>
      <c r="G212" s="89"/>
      <c r="H212" s="89"/>
      <c r="I212" s="89" t="s">
        <v>673</v>
      </c>
      <c r="J212" s="89" t="s">
        <v>674</v>
      </c>
      <c r="K212" s="89" t="s">
        <v>92</v>
      </c>
      <c r="L212" s="89" t="s">
        <v>93</v>
      </c>
      <c r="M212" s="89" t="s">
        <v>94</v>
      </c>
      <c r="N212" s="89" t="s">
        <v>976</v>
      </c>
      <c r="O212" s="89" t="s">
        <v>802</v>
      </c>
    </row>
    <row r="213" spans="1:15" ht="20.399999999999999" x14ac:dyDescent="0.3">
      <c r="A213" s="88">
        <v>222</v>
      </c>
      <c r="B213" s="89" t="s">
        <v>79</v>
      </c>
      <c r="C213" s="236" t="s">
        <v>168</v>
      </c>
      <c r="D213" s="236"/>
      <c r="E213" s="89" t="s">
        <v>91</v>
      </c>
      <c r="F213" s="89" t="s">
        <v>16</v>
      </c>
      <c r="G213" s="89"/>
      <c r="H213" s="89"/>
      <c r="I213" s="89" t="s">
        <v>675</v>
      </c>
      <c r="J213" s="89" t="s">
        <v>676</v>
      </c>
      <c r="K213" s="89" t="s">
        <v>92</v>
      </c>
      <c r="L213" s="89" t="s">
        <v>93</v>
      </c>
      <c r="M213" s="89" t="s">
        <v>94</v>
      </c>
      <c r="N213" s="89" t="s">
        <v>948</v>
      </c>
      <c r="O213" s="89" t="s">
        <v>802</v>
      </c>
    </row>
    <row r="214" spans="1:15" ht="20.399999999999999" x14ac:dyDescent="0.3">
      <c r="A214" s="88">
        <v>223</v>
      </c>
      <c r="B214" s="89" t="s">
        <v>79</v>
      </c>
      <c r="C214" s="236" t="s">
        <v>168</v>
      </c>
      <c r="D214" s="236"/>
      <c r="E214" s="89" t="s">
        <v>91</v>
      </c>
      <c r="F214" s="89" t="s">
        <v>16</v>
      </c>
      <c r="G214" s="89"/>
      <c r="H214" s="89"/>
      <c r="I214" s="89" t="s">
        <v>677</v>
      </c>
      <c r="J214" s="89" t="s">
        <v>678</v>
      </c>
      <c r="K214" s="89" t="s">
        <v>95</v>
      </c>
      <c r="L214" s="89" t="s">
        <v>93</v>
      </c>
      <c r="M214" s="89"/>
      <c r="N214" s="89" t="s">
        <v>977</v>
      </c>
      <c r="O214" s="89" t="s">
        <v>802</v>
      </c>
    </row>
    <row r="215" spans="1:15" ht="20.399999999999999" x14ac:dyDescent="0.3">
      <c r="A215" s="88">
        <v>224</v>
      </c>
      <c r="B215" s="89" t="s">
        <v>79</v>
      </c>
      <c r="C215" s="236" t="s">
        <v>168</v>
      </c>
      <c r="D215" s="236"/>
      <c r="E215" s="89" t="s">
        <v>91</v>
      </c>
      <c r="F215" s="89" t="s">
        <v>16</v>
      </c>
      <c r="G215" s="89"/>
      <c r="H215" s="89"/>
      <c r="I215" s="89" t="s">
        <v>679</v>
      </c>
      <c r="J215" s="89" t="s">
        <v>680</v>
      </c>
      <c r="K215" s="89" t="s">
        <v>15</v>
      </c>
      <c r="L215" s="89" t="s">
        <v>93</v>
      </c>
      <c r="M215" s="89" t="s">
        <v>85</v>
      </c>
      <c r="N215" s="89" t="s">
        <v>978</v>
      </c>
      <c r="O215" s="89" t="s">
        <v>802</v>
      </c>
    </row>
    <row r="216" spans="1:15" ht="20.399999999999999" x14ac:dyDescent="0.3">
      <c r="A216" s="88">
        <v>225</v>
      </c>
      <c r="B216" s="89" t="s">
        <v>79</v>
      </c>
      <c r="C216" s="236" t="s">
        <v>168</v>
      </c>
      <c r="D216" s="236"/>
      <c r="E216" s="89" t="s">
        <v>91</v>
      </c>
      <c r="F216" s="89" t="s">
        <v>16</v>
      </c>
      <c r="G216" s="89"/>
      <c r="H216" s="89"/>
      <c r="I216" s="89" t="s">
        <v>681</v>
      </c>
      <c r="J216" s="89" t="s">
        <v>682</v>
      </c>
      <c r="K216" s="89" t="s">
        <v>15</v>
      </c>
      <c r="L216" s="89" t="s">
        <v>93</v>
      </c>
      <c r="M216" s="89" t="s">
        <v>85</v>
      </c>
      <c r="N216" s="89" t="s">
        <v>979</v>
      </c>
      <c r="O216" s="89" t="s">
        <v>802</v>
      </c>
    </row>
    <row r="217" spans="1:15" ht="20.399999999999999" x14ac:dyDescent="0.3">
      <c r="A217" s="88">
        <v>226</v>
      </c>
      <c r="B217" s="89" t="s">
        <v>79</v>
      </c>
      <c r="C217" s="236" t="s">
        <v>168</v>
      </c>
      <c r="D217" s="236"/>
      <c r="E217" s="89" t="s">
        <v>91</v>
      </c>
      <c r="F217" s="89" t="s">
        <v>16</v>
      </c>
      <c r="G217" s="89"/>
      <c r="H217" s="89"/>
      <c r="I217" s="89" t="s">
        <v>791</v>
      </c>
      <c r="J217" s="89" t="s">
        <v>792</v>
      </c>
      <c r="K217" s="89" t="s">
        <v>15</v>
      </c>
      <c r="L217" s="89" t="s">
        <v>93</v>
      </c>
      <c r="M217" s="89" t="s">
        <v>85</v>
      </c>
      <c r="N217" s="89" t="s">
        <v>980</v>
      </c>
      <c r="O217" s="89" t="s">
        <v>802</v>
      </c>
    </row>
    <row r="218" spans="1:15" ht="20.399999999999999" x14ac:dyDescent="0.3">
      <c r="A218" s="88">
        <v>227</v>
      </c>
      <c r="B218" s="89" t="s">
        <v>79</v>
      </c>
      <c r="C218" s="236" t="s">
        <v>168</v>
      </c>
      <c r="D218" s="236"/>
      <c r="E218" s="89" t="s">
        <v>91</v>
      </c>
      <c r="F218" s="89" t="s">
        <v>16</v>
      </c>
      <c r="G218" s="89"/>
      <c r="H218" s="89"/>
      <c r="I218" s="89" t="s">
        <v>727</v>
      </c>
      <c r="J218" s="89" t="s">
        <v>728</v>
      </c>
      <c r="K218" s="89" t="s">
        <v>15</v>
      </c>
      <c r="L218" s="89" t="s">
        <v>93</v>
      </c>
      <c r="M218" s="89" t="s">
        <v>85</v>
      </c>
      <c r="N218" s="89" t="s">
        <v>981</v>
      </c>
      <c r="O218" s="89" t="s">
        <v>802</v>
      </c>
    </row>
    <row r="219" spans="1:15" ht="20.399999999999999" x14ac:dyDescent="0.3">
      <c r="A219" s="88">
        <v>228</v>
      </c>
      <c r="B219" s="89" t="s">
        <v>79</v>
      </c>
      <c r="C219" s="236" t="s">
        <v>168</v>
      </c>
      <c r="D219" s="236"/>
      <c r="E219" s="89" t="s">
        <v>91</v>
      </c>
      <c r="F219" s="89" t="s">
        <v>16</v>
      </c>
      <c r="G219" s="89"/>
      <c r="H219" s="89"/>
      <c r="I219" s="89" t="s">
        <v>683</v>
      </c>
      <c r="J219" s="89" t="s">
        <v>684</v>
      </c>
      <c r="K219" s="89" t="s">
        <v>15</v>
      </c>
      <c r="L219" s="89" t="s">
        <v>93</v>
      </c>
      <c r="M219" s="89" t="s">
        <v>85</v>
      </c>
      <c r="N219" s="89" t="s">
        <v>982</v>
      </c>
      <c r="O219" s="89" t="s">
        <v>802</v>
      </c>
    </row>
    <row r="220" spans="1:15" ht="20.399999999999999" x14ac:dyDescent="0.3">
      <c r="A220" s="88">
        <v>229</v>
      </c>
      <c r="B220" s="89" t="s">
        <v>79</v>
      </c>
      <c r="C220" s="236" t="s">
        <v>168</v>
      </c>
      <c r="D220" s="236"/>
      <c r="E220" s="89" t="s">
        <v>91</v>
      </c>
      <c r="F220" s="89" t="s">
        <v>16</v>
      </c>
      <c r="G220" s="89"/>
      <c r="H220" s="89"/>
      <c r="I220" s="89" t="s">
        <v>685</v>
      </c>
      <c r="J220" s="89" t="s">
        <v>686</v>
      </c>
      <c r="K220" s="89" t="s">
        <v>15</v>
      </c>
      <c r="L220" s="89" t="s">
        <v>93</v>
      </c>
      <c r="M220" s="89" t="s">
        <v>85</v>
      </c>
      <c r="N220" s="89" t="s">
        <v>903</v>
      </c>
      <c r="O220" s="89" t="s">
        <v>802</v>
      </c>
    </row>
    <row r="221" spans="1:15" ht="20.399999999999999" x14ac:dyDescent="0.3">
      <c r="A221" s="88">
        <v>230</v>
      </c>
      <c r="B221" s="89" t="s">
        <v>79</v>
      </c>
      <c r="C221" s="236" t="s">
        <v>168</v>
      </c>
      <c r="D221" s="236"/>
      <c r="E221" s="89" t="s">
        <v>91</v>
      </c>
      <c r="F221" s="89" t="s">
        <v>16</v>
      </c>
      <c r="G221" s="89"/>
      <c r="H221" s="89"/>
      <c r="I221" s="89" t="s">
        <v>687</v>
      </c>
      <c r="J221" s="89" t="s">
        <v>688</v>
      </c>
      <c r="K221" s="89" t="s">
        <v>15</v>
      </c>
      <c r="L221" s="89" t="s">
        <v>93</v>
      </c>
      <c r="M221" s="89" t="s">
        <v>85</v>
      </c>
      <c r="N221" s="89" t="s">
        <v>983</v>
      </c>
      <c r="O221" s="89" t="s">
        <v>802</v>
      </c>
    </row>
    <row r="222" spans="1:15" ht="20.399999999999999" x14ac:dyDescent="0.3">
      <c r="A222" s="88">
        <v>231</v>
      </c>
      <c r="B222" s="89" t="s">
        <v>79</v>
      </c>
      <c r="C222" s="236" t="s">
        <v>168</v>
      </c>
      <c r="D222" s="236"/>
      <c r="E222" s="89" t="s">
        <v>91</v>
      </c>
      <c r="F222" s="89" t="s">
        <v>16</v>
      </c>
      <c r="G222" s="89"/>
      <c r="H222" s="89"/>
      <c r="I222" s="89" t="s">
        <v>689</v>
      </c>
      <c r="J222" s="89" t="s">
        <v>690</v>
      </c>
      <c r="K222" s="89" t="s">
        <v>15</v>
      </c>
      <c r="L222" s="89" t="s">
        <v>93</v>
      </c>
      <c r="M222" s="89" t="s">
        <v>85</v>
      </c>
      <c r="N222" s="89" t="s">
        <v>984</v>
      </c>
      <c r="O222" s="89" t="s">
        <v>802</v>
      </c>
    </row>
    <row r="223" spans="1:15" ht="20.399999999999999" x14ac:dyDescent="0.3">
      <c r="A223" s="88">
        <v>232</v>
      </c>
      <c r="B223" s="89" t="s">
        <v>79</v>
      </c>
      <c r="C223" s="236" t="s">
        <v>168</v>
      </c>
      <c r="D223" s="236"/>
      <c r="E223" s="89" t="s">
        <v>91</v>
      </c>
      <c r="F223" s="89" t="s">
        <v>16</v>
      </c>
      <c r="G223" s="89"/>
      <c r="H223" s="89"/>
      <c r="I223" s="89" t="s">
        <v>691</v>
      </c>
      <c r="J223" s="89" t="s">
        <v>692</v>
      </c>
      <c r="K223" s="89" t="s">
        <v>15</v>
      </c>
      <c r="L223" s="89" t="s">
        <v>93</v>
      </c>
      <c r="M223" s="89" t="s">
        <v>85</v>
      </c>
      <c r="N223" s="89" t="s">
        <v>825</v>
      </c>
      <c r="O223" s="89" t="s">
        <v>802</v>
      </c>
    </row>
    <row r="224" spans="1:15" ht="20.399999999999999" x14ac:dyDescent="0.3">
      <c r="A224" s="88">
        <v>233</v>
      </c>
      <c r="B224" s="89" t="s">
        <v>79</v>
      </c>
      <c r="C224" s="236" t="s">
        <v>168</v>
      </c>
      <c r="D224" s="236"/>
      <c r="E224" s="89" t="s">
        <v>91</v>
      </c>
      <c r="F224" s="89" t="s">
        <v>16</v>
      </c>
      <c r="G224" s="89"/>
      <c r="H224" s="89"/>
      <c r="I224" s="89" t="s">
        <v>693</v>
      </c>
      <c r="J224" s="89" t="s">
        <v>694</v>
      </c>
      <c r="K224" s="89" t="s">
        <v>96</v>
      </c>
      <c r="L224" s="89" t="s">
        <v>93</v>
      </c>
      <c r="M224" s="89" t="s">
        <v>97</v>
      </c>
      <c r="N224" s="89" t="s">
        <v>879</v>
      </c>
      <c r="O224" s="89" t="s">
        <v>802</v>
      </c>
    </row>
    <row r="225" spans="1:15" ht="20.399999999999999" x14ac:dyDescent="0.3">
      <c r="A225" s="88">
        <v>234</v>
      </c>
      <c r="B225" s="89" t="s">
        <v>79</v>
      </c>
      <c r="C225" s="236" t="s">
        <v>168</v>
      </c>
      <c r="D225" s="236"/>
      <c r="E225" s="89" t="s">
        <v>91</v>
      </c>
      <c r="F225" s="89" t="s">
        <v>16</v>
      </c>
      <c r="G225" s="89"/>
      <c r="H225" s="89"/>
      <c r="I225" s="89" t="s">
        <v>695</v>
      </c>
      <c r="J225" s="89" t="s">
        <v>696</v>
      </c>
      <c r="K225" s="89" t="s">
        <v>96</v>
      </c>
      <c r="L225" s="89" t="s">
        <v>93</v>
      </c>
      <c r="M225" s="89" t="s">
        <v>97</v>
      </c>
      <c r="N225" s="89" t="s">
        <v>985</v>
      </c>
      <c r="O225" s="89" t="s">
        <v>802</v>
      </c>
    </row>
    <row r="226" spans="1:15" ht="20.399999999999999" x14ac:dyDescent="0.3">
      <c r="A226" s="88">
        <v>235</v>
      </c>
      <c r="B226" s="89" t="s">
        <v>79</v>
      </c>
      <c r="C226" s="236" t="s">
        <v>168</v>
      </c>
      <c r="D226" s="236"/>
      <c r="E226" s="89" t="s">
        <v>91</v>
      </c>
      <c r="F226" s="89" t="s">
        <v>16</v>
      </c>
      <c r="G226" s="89"/>
      <c r="H226" s="89"/>
      <c r="I226" s="89" t="s">
        <v>697</v>
      </c>
      <c r="J226" s="89" t="s">
        <v>698</v>
      </c>
      <c r="K226" s="89" t="s">
        <v>96</v>
      </c>
      <c r="L226" s="89" t="s">
        <v>93</v>
      </c>
      <c r="M226" s="89" t="s">
        <v>97</v>
      </c>
      <c r="N226" s="89" t="s">
        <v>986</v>
      </c>
      <c r="O226" s="89" t="s">
        <v>802</v>
      </c>
    </row>
    <row r="227" spans="1:15" ht="20.399999999999999" x14ac:dyDescent="0.3">
      <c r="A227" s="88">
        <v>236</v>
      </c>
      <c r="B227" s="89" t="s">
        <v>79</v>
      </c>
      <c r="C227" s="236" t="s">
        <v>168</v>
      </c>
      <c r="D227" s="236"/>
      <c r="E227" s="89" t="s">
        <v>91</v>
      </c>
      <c r="F227" s="89" t="s">
        <v>16</v>
      </c>
      <c r="G227" s="89"/>
      <c r="H227" s="89"/>
      <c r="I227" s="89" t="s">
        <v>699</v>
      </c>
      <c r="J227" s="89" t="s">
        <v>700</v>
      </c>
      <c r="K227" s="89" t="s">
        <v>96</v>
      </c>
      <c r="L227" s="89" t="s">
        <v>93</v>
      </c>
      <c r="M227" s="89" t="s">
        <v>97</v>
      </c>
      <c r="N227" s="89" t="s">
        <v>883</v>
      </c>
      <c r="O227" s="89" t="s">
        <v>802</v>
      </c>
    </row>
    <row r="228" spans="1:15" ht="20.399999999999999" x14ac:dyDescent="0.3">
      <c r="A228" s="88">
        <v>237</v>
      </c>
      <c r="B228" s="89" t="s">
        <v>79</v>
      </c>
      <c r="C228" s="236" t="s">
        <v>168</v>
      </c>
      <c r="D228" s="236"/>
      <c r="E228" s="89" t="s">
        <v>91</v>
      </c>
      <c r="F228" s="89" t="s">
        <v>17</v>
      </c>
      <c r="G228" s="89"/>
      <c r="H228" s="89"/>
      <c r="I228" s="89" t="s">
        <v>701</v>
      </c>
      <c r="J228" s="89" t="s">
        <v>702</v>
      </c>
      <c r="K228" s="89" t="s">
        <v>92</v>
      </c>
      <c r="L228" s="89" t="s">
        <v>98</v>
      </c>
      <c r="M228" s="89" t="s">
        <v>94</v>
      </c>
      <c r="N228" s="89" t="s">
        <v>987</v>
      </c>
      <c r="O228" s="89" t="s">
        <v>802</v>
      </c>
    </row>
    <row r="229" spans="1:15" ht="20.399999999999999" x14ac:dyDescent="0.3">
      <c r="A229" s="88">
        <v>238</v>
      </c>
      <c r="B229" s="89" t="s">
        <v>79</v>
      </c>
      <c r="C229" s="236" t="s">
        <v>168</v>
      </c>
      <c r="D229" s="236"/>
      <c r="E229" s="89" t="s">
        <v>91</v>
      </c>
      <c r="F229" s="89" t="s">
        <v>17</v>
      </c>
      <c r="G229" s="89"/>
      <c r="H229" s="89"/>
      <c r="I229" s="89" t="s">
        <v>703</v>
      </c>
      <c r="J229" s="89" t="s">
        <v>704</v>
      </c>
      <c r="K229" s="89" t="s">
        <v>92</v>
      </c>
      <c r="L229" s="89" t="s">
        <v>98</v>
      </c>
      <c r="M229" s="89" t="s">
        <v>94</v>
      </c>
      <c r="N229" s="89" t="s">
        <v>988</v>
      </c>
      <c r="O229" s="89" t="s">
        <v>830</v>
      </c>
    </row>
    <row r="230" spans="1:15" ht="20.399999999999999" x14ac:dyDescent="0.3">
      <c r="A230" s="88">
        <v>239</v>
      </c>
      <c r="B230" s="89" t="s">
        <v>79</v>
      </c>
      <c r="C230" s="236" t="s">
        <v>168</v>
      </c>
      <c r="D230" s="236"/>
      <c r="E230" s="89" t="s">
        <v>91</v>
      </c>
      <c r="F230" s="89" t="s">
        <v>17</v>
      </c>
      <c r="G230" s="89"/>
      <c r="H230" s="89"/>
      <c r="I230" s="89" t="s">
        <v>705</v>
      </c>
      <c r="J230" s="89" t="s">
        <v>706</v>
      </c>
      <c r="K230" s="89" t="s">
        <v>92</v>
      </c>
      <c r="L230" s="89" t="s">
        <v>98</v>
      </c>
      <c r="M230" s="89" t="s">
        <v>94</v>
      </c>
      <c r="N230" s="89" t="s">
        <v>989</v>
      </c>
      <c r="O230" s="89" t="s">
        <v>841</v>
      </c>
    </row>
    <row r="231" spans="1:15" ht="20.399999999999999" x14ac:dyDescent="0.3">
      <c r="A231" s="88">
        <v>240</v>
      </c>
      <c r="B231" s="89" t="s">
        <v>79</v>
      </c>
      <c r="C231" s="236" t="s">
        <v>168</v>
      </c>
      <c r="D231" s="236"/>
      <c r="E231" s="89" t="s">
        <v>91</v>
      </c>
      <c r="F231" s="89" t="s">
        <v>17</v>
      </c>
      <c r="G231" s="89"/>
      <c r="H231" s="89"/>
      <c r="I231" s="89" t="s">
        <v>707</v>
      </c>
      <c r="J231" s="89" t="s">
        <v>708</v>
      </c>
      <c r="K231" s="89" t="s">
        <v>95</v>
      </c>
      <c r="L231" s="89" t="s">
        <v>98</v>
      </c>
      <c r="M231" s="89"/>
      <c r="N231" s="89" t="s">
        <v>990</v>
      </c>
      <c r="O231" s="89" t="s">
        <v>802</v>
      </c>
    </row>
    <row r="232" spans="1:15" ht="20.399999999999999" x14ac:dyDescent="0.3">
      <c r="A232" s="88">
        <v>241</v>
      </c>
      <c r="B232" s="89" t="s">
        <v>79</v>
      </c>
      <c r="C232" s="236" t="s">
        <v>168</v>
      </c>
      <c r="D232" s="236"/>
      <c r="E232" s="89" t="s">
        <v>91</v>
      </c>
      <c r="F232" s="89" t="s">
        <v>17</v>
      </c>
      <c r="G232" s="89"/>
      <c r="H232" s="89"/>
      <c r="I232" s="89" t="s">
        <v>709</v>
      </c>
      <c r="J232" s="89" t="s">
        <v>710</v>
      </c>
      <c r="K232" s="89" t="s">
        <v>15</v>
      </c>
      <c r="L232" s="89" t="s">
        <v>98</v>
      </c>
      <c r="M232" s="89" t="s">
        <v>85</v>
      </c>
      <c r="N232" s="89" t="s">
        <v>820</v>
      </c>
      <c r="O232" s="89" t="s">
        <v>802</v>
      </c>
    </row>
    <row r="233" spans="1:15" ht="20.399999999999999" x14ac:dyDescent="0.3">
      <c r="A233" s="88">
        <v>242</v>
      </c>
      <c r="B233" s="89" t="s">
        <v>79</v>
      </c>
      <c r="C233" s="236" t="s">
        <v>168</v>
      </c>
      <c r="D233" s="236"/>
      <c r="E233" s="89" t="s">
        <v>91</v>
      </c>
      <c r="F233" s="89" t="s">
        <v>17</v>
      </c>
      <c r="G233" s="89"/>
      <c r="H233" s="89"/>
      <c r="I233" s="89" t="s">
        <v>711</v>
      </c>
      <c r="J233" s="89" t="s">
        <v>712</v>
      </c>
      <c r="K233" s="89" t="s">
        <v>96</v>
      </c>
      <c r="L233" s="89" t="s">
        <v>98</v>
      </c>
      <c r="M233" s="89" t="s">
        <v>97</v>
      </c>
      <c r="N233" s="89" t="s">
        <v>991</v>
      </c>
      <c r="O233" s="89" t="s">
        <v>802</v>
      </c>
    </row>
    <row r="234" spans="1:15" x14ac:dyDescent="0.3">
      <c r="A234" s="88">
        <v>243</v>
      </c>
      <c r="B234" s="89" t="s">
        <v>79</v>
      </c>
      <c r="C234" s="236" t="s">
        <v>168</v>
      </c>
      <c r="D234" s="236"/>
      <c r="E234" s="89" t="s">
        <v>83</v>
      </c>
      <c r="F234" s="89"/>
      <c r="G234" s="89"/>
      <c r="H234" s="89"/>
      <c r="I234" s="89" t="s">
        <v>713</v>
      </c>
      <c r="J234" s="89" t="s">
        <v>714</v>
      </c>
      <c r="K234" s="89" t="s">
        <v>86</v>
      </c>
      <c r="L234" s="89" t="s">
        <v>84</v>
      </c>
      <c r="M234" s="89"/>
      <c r="N234" s="89" t="s">
        <v>904</v>
      </c>
      <c r="O234" s="89" t="s">
        <v>802</v>
      </c>
    </row>
    <row r="235" spans="1:15" x14ac:dyDescent="0.3">
      <c r="A235" s="88">
        <v>244</v>
      </c>
      <c r="B235" s="89" t="s">
        <v>79</v>
      </c>
      <c r="C235" s="236" t="s">
        <v>168</v>
      </c>
      <c r="D235" s="236"/>
      <c r="E235" s="89" t="s">
        <v>83</v>
      </c>
      <c r="F235" s="89"/>
      <c r="G235" s="89"/>
      <c r="H235" s="89"/>
      <c r="I235" s="89" t="s">
        <v>715</v>
      </c>
      <c r="J235" s="89" t="s">
        <v>716</v>
      </c>
      <c r="K235" s="89" t="s">
        <v>88</v>
      </c>
      <c r="L235" s="89" t="s">
        <v>84</v>
      </c>
      <c r="M235" s="89"/>
      <c r="N235" s="89" t="s">
        <v>927</v>
      </c>
      <c r="O235" s="89" t="s">
        <v>802</v>
      </c>
    </row>
    <row r="236" spans="1:15" x14ac:dyDescent="0.3">
      <c r="A236" s="88">
        <v>245</v>
      </c>
      <c r="B236" s="89" t="s">
        <v>79</v>
      </c>
      <c r="C236" s="236" t="s">
        <v>168</v>
      </c>
      <c r="D236" s="236"/>
      <c r="E236" s="89" t="s">
        <v>83</v>
      </c>
      <c r="F236" s="89"/>
      <c r="G236" s="89"/>
      <c r="H236" s="89"/>
      <c r="I236" s="89" t="s">
        <v>717</v>
      </c>
      <c r="J236" s="89" t="s">
        <v>718</v>
      </c>
      <c r="K236" s="89" t="s">
        <v>88</v>
      </c>
      <c r="L236" s="89" t="s">
        <v>84</v>
      </c>
      <c r="M236" s="89"/>
      <c r="N236" s="89" t="s">
        <v>992</v>
      </c>
      <c r="O236" s="89" t="s">
        <v>802</v>
      </c>
    </row>
    <row r="237" spans="1:15" x14ac:dyDescent="0.3">
      <c r="A237" s="88">
        <v>246</v>
      </c>
      <c r="B237" s="89" t="s">
        <v>79</v>
      </c>
      <c r="C237" s="236" t="s">
        <v>168</v>
      </c>
      <c r="D237" s="236"/>
      <c r="E237" s="89" t="s">
        <v>83</v>
      </c>
      <c r="F237" s="89"/>
      <c r="G237" s="89"/>
      <c r="H237" s="89"/>
      <c r="I237" s="89" t="s">
        <v>719</v>
      </c>
      <c r="J237" s="89" t="s">
        <v>720</v>
      </c>
      <c r="K237" s="89" t="s">
        <v>88</v>
      </c>
      <c r="L237" s="89" t="s">
        <v>84</v>
      </c>
      <c r="M237" s="89"/>
      <c r="N237" s="89" t="s">
        <v>993</v>
      </c>
      <c r="O237" s="89" t="s">
        <v>802</v>
      </c>
    </row>
    <row r="238" spans="1:15" ht="40.799999999999997" x14ac:dyDescent="0.3">
      <c r="A238" s="88">
        <v>247</v>
      </c>
      <c r="B238" s="89" t="s">
        <v>79</v>
      </c>
      <c r="C238" s="236" t="s">
        <v>168</v>
      </c>
      <c r="D238" s="236"/>
      <c r="E238" s="89" t="s">
        <v>83</v>
      </c>
      <c r="F238" s="89"/>
      <c r="G238" s="89"/>
      <c r="H238" s="89"/>
      <c r="I238" s="89" t="s">
        <v>721</v>
      </c>
      <c r="J238" s="89" t="s">
        <v>722</v>
      </c>
      <c r="K238" s="89" t="s">
        <v>89</v>
      </c>
      <c r="L238" s="89" t="s">
        <v>84</v>
      </c>
      <c r="M238" s="89" t="s">
        <v>90</v>
      </c>
      <c r="N238" s="89" t="s">
        <v>994</v>
      </c>
      <c r="O238" s="89" t="s">
        <v>802</v>
      </c>
    </row>
    <row r="239" spans="1:15" ht="40.799999999999997" x14ac:dyDescent="0.3">
      <c r="A239" s="88">
        <v>248</v>
      </c>
      <c r="B239" s="89" t="s">
        <v>79</v>
      </c>
      <c r="C239" s="236" t="s">
        <v>168</v>
      </c>
      <c r="D239" s="236"/>
      <c r="E239" s="89" t="s">
        <v>83</v>
      </c>
      <c r="F239" s="89"/>
      <c r="G239" s="89"/>
      <c r="H239" s="89"/>
      <c r="I239" s="89" t="s">
        <v>723</v>
      </c>
      <c r="J239" s="89" t="s">
        <v>724</v>
      </c>
      <c r="K239" s="89" t="s">
        <v>89</v>
      </c>
      <c r="L239" s="89" t="s">
        <v>84</v>
      </c>
      <c r="M239" s="89" t="s">
        <v>90</v>
      </c>
      <c r="N239" s="89" t="s">
        <v>902</v>
      </c>
      <c r="O239" s="89" t="s">
        <v>802</v>
      </c>
    </row>
    <row r="240" spans="1:15" ht="40.799999999999997" x14ac:dyDescent="0.3">
      <c r="A240" s="88">
        <v>249</v>
      </c>
      <c r="B240" s="89" t="s">
        <v>79</v>
      </c>
      <c r="C240" s="236" t="s">
        <v>168</v>
      </c>
      <c r="D240" s="236"/>
      <c r="E240" s="89" t="s">
        <v>83</v>
      </c>
      <c r="F240" s="89"/>
      <c r="G240" s="89"/>
      <c r="H240" s="89"/>
      <c r="I240" s="89" t="s">
        <v>725</v>
      </c>
      <c r="J240" s="89" t="s">
        <v>726</v>
      </c>
      <c r="K240" s="89" t="s">
        <v>89</v>
      </c>
      <c r="L240" s="89" t="s">
        <v>84</v>
      </c>
      <c r="M240" s="89" t="s">
        <v>90</v>
      </c>
      <c r="N240" s="89" t="s">
        <v>995</v>
      </c>
      <c r="O240" s="89" t="s">
        <v>802</v>
      </c>
    </row>
    <row r="241" spans="1:15" ht="40.799999999999997" x14ac:dyDescent="0.3">
      <c r="A241" s="88">
        <v>250</v>
      </c>
      <c r="B241" s="89" t="s">
        <v>79</v>
      </c>
      <c r="C241" s="236" t="s">
        <v>168</v>
      </c>
      <c r="D241" s="236"/>
      <c r="E241" s="89" t="s">
        <v>83</v>
      </c>
      <c r="F241" s="89"/>
      <c r="G241" s="89"/>
      <c r="H241" s="89"/>
      <c r="I241" s="89" t="s">
        <v>793</v>
      </c>
      <c r="J241" s="89" t="s">
        <v>794</v>
      </c>
      <c r="K241" s="89" t="s">
        <v>89</v>
      </c>
      <c r="L241" s="89" t="s">
        <v>84</v>
      </c>
      <c r="M241" s="89" t="s">
        <v>90</v>
      </c>
      <c r="N241" s="89" t="s">
        <v>996</v>
      </c>
      <c r="O241" s="89" t="s">
        <v>802</v>
      </c>
    </row>
    <row r="242" spans="1:15" ht="40.799999999999997" x14ac:dyDescent="0.3">
      <c r="A242" s="88">
        <v>251</v>
      </c>
      <c r="B242" s="89" t="s">
        <v>79</v>
      </c>
      <c r="C242" s="236" t="s">
        <v>168</v>
      </c>
      <c r="D242" s="236"/>
      <c r="E242" s="89" t="s">
        <v>83</v>
      </c>
      <c r="F242" s="89"/>
      <c r="G242" s="89"/>
      <c r="H242" s="89"/>
      <c r="I242" s="89" t="s">
        <v>729</v>
      </c>
      <c r="J242" s="89" t="s">
        <v>730</v>
      </c>
      <c r="K242" s="89" t="s">
        <v>89</v>
      </c>
      <c r="L242" s="89" t="s">
        <v>84</v>
      </c>
      <c r="M242" s="89" t="s">
        <v>90</v>
      </c>
      <c r="N242" s="89" t="s">
        <v>867</v>
      </c>
      <c r="O242" s="89" t="s">
        <v>802</v>
      </c>
    </row>
    <row r="243" spans="1:15" ht="40.799999999999997" x14ac:dyDescent="0.3">
      <c r="A243" s="88">
        <v>252</v>
      </c>
      <c r="B243" s="89" t="s">
        <v>79</v>
      </c>
      <c r="C243" s="236" t="s">
        <v>168</v>
      </c>
      <c r="D243" s="236"/>
      <c r="E243" s="89" t="s">
        <v>83</v>
      </c>
      <c r="F243" s="89"/>
      <c r="G243" s="89"/>
      <c r="H243" s="89"/>
      <c r="I243" s="89" t="s">
        <v>731</v>
      </c>
      <c r="J243" s="89" t="s">
        <v>732</v>
      </c>
      <c r="K243" s="89" t="s">
        <v>89</v>
      </c>
      <c r="L243" s="89" t="s">
        <v>84</v>
      </c>
      <c r="M243" s="89" t="s">
        <v>90</v>
      </c>
      <c r="N243" s="89" t="s">
        <v>804</v>
      </c>
      <c r="O243" s="89" t="s">
        <v>802</v>
      </c>
    </row>
    <row r="244" spans="1:15" ht="40.799999999999997" x14ac:dyDescent="0.3">
      <c r="A244" s="88">
        <v>253</v>
      </c>
      <c r="B244" s="89" t="s">
        <v>79</v>
      </c>
      <c r="C244" s="236" t="s">
        <v>168</v>
      </c>
      <c r="D244" s="236"/>
      <c r="E244" s="89" t="s">
        <v>83</v>
      </c>
      <c r="F244" s="89"/>
      <c r="G244" s="89"/>
      <c r="H244" s="89"/>
      <c r="I244" s="89" t="s">
        <v>501</v>
      </c>
      <c r="J244" s="89" t="s">
        <v>502</v>
      </c>
      <c r="K244" s="89" t="s">
        <v>89</v>
      </c>
      <c r="L244" s="89" t="s">
        <v>84</v>
      </c>
      <c r="M244" s="89" t="s">
        <v>90</v>
      </c>
      <c r="N244" s="89" t="s">
        <v>997</v>
      </c>
      <c r="O244" s="89" t="s">
        <v>802</v>
      </c>
    </row>
    <row r="245" spans="1:15" ht="40.799999999999997" x14ac:dyDescent="0.3">
      <c r="A245" s="88">
        <v>254</v>
      </c>
      <c r="B245" s="89" t="s">
        <v>79</v>
      </c>
      <c r="C245" s="236" t="s">
        <v>168</v>
      </c>
      <c r="D245" s="236"/>
      <c r="E245" s="89" t="s">
        <v>83</v>
      </c>
      <c r="F245" s="89"/>
      <c r="G245" s="89"/>
      <c r="H245" s="89"/>
      <c r="I245" s="89" t="s">
        <v>733</v>
      </c>
      <c r="J245" s="89" t="s">
        <v>734</v>
      </c>
      <c r="K245" s="89" t="s">
        <v>89</v>
      </c>
      <c r="L245" s="89" t="s">
        <v>84</v>
      </c>
      <c r="M245" s="89" t="s">
        <v>90</v>
      </c>
      <c r="N245" s="89" t="s">
        <v>998</v>
      </c>
      <c r="O245" s="89" t="s">
        <v>841</v>
      </c>
    </row>
    <row r="246" spans="1:15" ht="40.799999999999997" x14ac:dyDescent="0.3">
      <c r="A246" s="88">
        <v>255</v>
      </c>
      <c r="B246" s="89" t="s">
        <v>79</v>
      </c>
      <c r="C246" s="236" t="s">
        <v>168</v>
      </c>
      <c r="D246" s="236"/>
      <c r="E246" s="89" t="s">
        <v>83</v>
      </c>
      <c r="F246" s="89"/>
      <c r="G246" s="89"/>
      <c r="H246" s="89"/>
      <c r="I246" s="89" t="s">
        <v>795</v>
      </c>
      <c r="J246" s="89" t="s">
        <v>796</v>
      </c>
      <c r="K246" s="89" t="s">
        <v>89</v>
      </c>
      <c r="L246" s="89" t="s">
        <v>84</v>
      </c>
      <c r="M246" s="89" t="s">
        <v>90</v>
      </c>
      <c r="N246" s="89" t="s">
        <v>969</v>
      </c>
      <c r="O246" s="89" t="s">
        <v>802</v>
      </c>
    </row>
    <row r="247" spans="1:15" ht="40.799999999999997" x14ac:dyDescent="0.3">
      <c r="A247" s="88">
        <v>256</v>
      </c>
      <c r="B247" s="89" t="s">
        <v>79</v>
      </c>
      <c r="C247" s="236" t="s">
        <v>168</v>
      </c>
      <c r="D247" s="236"/>
      <c r="E247" s="89" t="s">
        <v>83</v>
      </c>
      <c r="F247" s="89"/>
      <c r="G247" s="89"/>
      <c r="H247" s="89"/>
      <c r="I247" s="89" t="s">
        <v>735</v>
      </c>
      <c r="J247" s="89" t="s">
        <v>736</v>
      </c>
      <c r="K247" s="89" t="s">
        <v>89</v>
      </c>
      <c r="L247" s="89" t="s">
        <v>84</v>
      </c>
      <c r="M247" s="89" t="s">
        <v>90</v>
      </c>
      <c r="N247" s="89" t="s">
        <v>804</v>
      </c>
      <c r="O247" s="89" t="s">
        <v>802</v>
      </c>
    </row>
    <row r="248" spans="1:15" ht="40.799999999999997" x14ac:dyDescent="0.3">
      <c r="A248" s="88">
        <v>257</v>
      </c>
      <c r="B248" s="89" t="s">
        <v>79</v>
      </c>
      <c r="C248" s="236" t="s">
        <v>168</v>
      </c>
      <c r="D248" s="236"/>
      <c r="E248" s="89" t="s">
        <v>83</v>
      </c>
      <c r="F248" s="89"/>
      <c r="G248" s="89"/>
      <c r="H248" s="89"/>
      <c r="I248" s="89" t="s">
        <v>737</v>
      </c>
      <c r="J248" s="89" t="s">
        <v>738</v>
      </c>
      <c r="K248" s="89" t="s">
        <v>89</v>
      </c>
      <c r="L248" s="89" t="s">
        <v>84</v>
      </c>
      <c r="M248" s="89" t="s">
        <v>90</v>
      </c>
      <c r="N248" s="89" t="s">
        <v>999</v>
      </c>
      <c r="O248" s="89" t="s">
        <v>802</v>
      </c>
    </row>
    <row r="249" spans="1:15" ht="40.799999999999997" x14ac:dyDescent="0.3">
      <c r="A249" s="88">
        <v>258</v>
      </c>
      <c r="B249" s="89" t="s">
        <v>79</v>
      </c>
      <c r="C249" s="236" t="s">
        <v>168</v>
      </c>
      <c r="D249" s="236"/>
      <c r="E249" s="89" t="s">
        <v>83</v>
      </c>
      <c r="F249" s="89"/>
      <c r="G249" s="89"/>
      <c r="H249" s="89"/>
      <c r="I249" s="89" t="s">
        <v>1000</v>
      </c>
      <c r="J249" s="89" t="s">
        <v>1001</v>
      </c>
      <c r="K249" s="89" t="s">
        <v>89</v>
      </c>
      <c r="L249" s="89" t="s">
        <v>84</v>
      </c>
      <c r="M249" s="89" t="s">
        <v>90</v>
      </c>
      <c r="N249" s="89" t="s">
        <v>1002</v>
      </c>
      <c r="O249" s="89" t="s">
        <v>802</v>
      </c>
    </row>
    <row r="250" spans="1:15" ht="40.799999999999997" x14ac:dyDescent="0.3">
      <c r="A250" s="88">
        <v>259</v>
      </c>
      <c r="B250" s="89" t="s">
        <v>79</v>
      </c>
      <c r="C250" s="236" t="s">
        <v>168</v>
      </c>
      <c r="D250" s="236"/>
      <c r="E250" s="89" t="s">
        <v>83</v>
      </c>
      <c r="F250" s="89"/>
      <c r="G250" s="89"/>
      <c r="H250" s="89"/>
      <c r="I250" s="89" t="s">
        <v>517</v>
      </c>
      <c r="J250" s="89" t="s">
        <v>518</v>
      </c>
      <c r="K250" s="89" t="s">
        <v>89</v>
      </c>
      <c r="L250" s="89" t="s">
        <v>84</v>
      </c>
      <c r="M250" s="89" t="s">
        <v>90</v>
      </c>
      <c r="N250" s="89" t="s">
        <v>1003</v>
      </c>
      <c r="O250" s="89" t="s">
        <v>802</v>
      </c>
    </row>
    <row r="251" spans="1:15" ht="40.799999999999997" x14ac:dyDescent="0.3">
      <c r="A251" s="88">
        <v>260</v>
      </c>
      <c r="B251" s="89" t="s">
        <v>79</v>
      </c>
      <c r="C251" s="236" t="s">
        <v>168</v>
      </c>
      <c r="D251" s="236"/>
      <c r="E251" s="89" t="s">
        <v>83</v>
      </c>
      <c r="F251" s="89"/>
      <c r="G251" s="89"/>
      <c r="H251" s="89"/>
      <c r="I251" s="89" t="s">
        <v>519</v>
      </c>
      <c r="J251" s="89" t="s">
        <v>520</v>
      </c>
      <c r="K251" s="89" t="s">
        <v>89</v>
      </c>
      <c r="L251" s="89" t="s">
        <v>84</v>
      </c>
      <c r="M251" s="89" t="s">
        <v>90</v>
      </c>
      <c r="N251" s="89" t="s">
        <v>1004</v>
      </c>
      <c r="O251" s="89" t="s">
        <v>802</v>
      </c>
    </row>
    <row r="252" spans="1:15" ht="40.799999999999997" x14ac:dyDescent="0.3">
      <c r="A252" s="88">
        <v>261</v>
      </c>
      <c r="B252" s="89" t="s">
        <v>79</v>
      </c>
      <c r="C252" s="236" t="s">
        <v>168</v>
      </c>
      <c r="D252" s="236"/>
      <c r="E252" s="89" t="s">
        <v>83</v>
      </c>
      <c r="F252" s="89"/>
      <c r="G252" s="89"/>
      <c r="H252" s="89"/>
      <c r="I252" s="89" t="s">
        <v>739</v>
      </c>
      <c r="J252" s="89" t="s">
        <v>740</v>
      </c>
      <c r="K252" s="89" t="s">
        <v>89</v>
      </c>
      <c r="L252" s="89" t="s">
        <v>84</v>
      </c>
      <c r="M252" s="89" t="s">
        <v>90</v>
      </c>
      <c r="N252" s="89" t="s">
        <v>812</v>
      </c>
      <c r="O252" s="89" t="s">
        <v>802</v>
      </c>
    </row>
    <row r="253" spans="1:15" ht="40.799999999999997" x14ac:dyDescent="0.3">
      <c r="A253" s="88">
        <v>262</v>
      </c>
      <c r="B253" s="89" t="s">
        <v>79</v>
      </c>
      <c r="C253" s="236" t="s">
        <v>168</v>
      </c>
      <c r="D253" s="236"/>
      <c r="E253" s="89" t="s">
        <v>83</v>
      </c>
      <c r="F253" s="89"/>
      <c r="G253" s="89"/>
      <c r="H253" s="89"/>
      <c r="I253" s="89" t="s">
        <v>741</v>
      </c>
      <c r="J253" s="89" t="s">
        <v>742</v>
      </c>
      <c r="K253" s="89" t="s">
        <v>89</v>
      </c>
      <c r="L253" s="89" t="s">
        <v>84</v>
      </c>
      <c r="M253" s="89" t="s">
        <v>90</v>
      </c>
      <c r="N253" s="89" t="s">
        <v>1005</v>
      </c>
      <c r="O253" s="89" t="s">
        <v>802</v>
      </c>
    </row>
    <row r="254" spans="1:15" ht="40.799999999999997" x14ac:dyDescent="0.3">
      <c r="A254" s="88">
        <v>263</v>
      </c>
      <c r="B254" s="89" t="s">
        <v>79</v>
      </c>
      <c r="C254" s="236" t="s">
        <v>168</v>
      </c>
      <c r="D254" s="236"/>
      <c r="E254" s="89" t="s">
        <v>83</v>
      </c>
      <c r="F254" s="89"/>
      <c r="G254" s="89"/>
      <c r="H254" s="89"/>
      <c r="I254" s="89" t="s">
        <v>1006</v>
      </c>
      <c r="J254" s="89" t="s">
        <v>1007</v>
      </c>
      <c r="K254" s="89" t="s">
        <v>89</v>
      </c>
      <c r="L254" s="89" t="s">
        <v>84</v>
      </c>
      <c r="M254" s="89" t="s">
        <v>90</v>
      </c>
      <c r="N254" s="89" t="s">
        <v>1008</v>
      </c>
      <c r="O254" s="89" t="s">
        <v>802</v>
      </c>
    </row>
    <row r="255" spans="1:15" ht="40.799999999999997" x14ac:dyDescent="0.3">
      <c r="A255" s="88">
        <v>264</v>
      </c>
      <c r="B255" s="89" t="s">
        <v>79</v>
      </c>
      <c r="C255" s="236" t="s">
        <v>168</v>
      </c>
      <c r="D255" s="236"/>
      <c r="E255" s="89" t="s">
        <v>83</v>
      </c>
      <c r="F255" s="89"/>
      <c r="G255" s="89"/>
      <c r="H255" s="89"/>
      <c r="I255" s="89" t="s">
        <v>743</v>
      </c>
      <c r="J255" s="89" t="s">
        <v>744</v>
      </c>
      <c r="K255" s="89" t="s">
        <v>89</v>
      </c>
      <c r="L255" s="89" t="s">
        <v>84</v>
      </c>
      <c r="M255" s="89" t="s">
        <v>90</v>
      </c>
      <c r="N255" s="89" t="s">
        <v>827</v>
      </c>
      <c r="O255" s="89" t="s">
        <v>802</v>
      </c>
    </row>
    <row r="256" spans="1:15" ht="40.799999999999997" x14ac:dyDescent="0.3">
      <c r="A256" s="88">
        <v>265</v>
      </c>
      <c r="B256" s="89" t="s">
        <v>79</v>
      </c>
      <c r="C256" s="236" t="s">
        <v>168</v>
      </c>
      <c r="D256" s="236"/>
      <c r="E256" s="89" t="s">
        <v>83</v>
      </c>
      <c r="F256" s="89"/>
      <c r="G256" s="89"/>
      <c r="H256" s="89"/>
      <c r="I256" s="89" t="s">
        <v>745</v>
      </c>
      <c r="J256" s="89" t="s">
        <v>746</v>
      </c>
      <c r="K256" s="89" t="s">
        <v>89</v>
      </c>
      <c r="L256" s="89" t="s">
        <v>84</v>
      </c>
      <c r="M256" s="89" t="s">
        <v>90</v>
      </c>
      <c r="N256" s="89" t="s">
        <v>1009</v>
      </c>
      <c r="O256" s="89" t="s">
        <v>802</v>
      </c>
    </row>
    <row r="257" spans="1:15" x14ac:dyDescent="0.3">
      <c r="A257" s="88">
        <v>266</v>
      </c>
      <c r="B257" s="89" t="s">
        <v>79</v>
      </c>
      <c r="C257" s="236" t="s">
        <v>168</v>
      </c>
      <c r="D257" s="236"/>
      <c r="E257" s="89" t="s">
        <v>83</v>
      </c>
      <c r="F257" s="89" t="s">
        <v>245</v>
      </c>
      <c r="G257" s="89"/>
      <c r="H257" s="89"/>
      <c r="I257" s="89" t="s">
        <v>747</v>
      </c>
      <c r="J257" s="89" t="s">
        <v>748</v>
      </c>
      <c r="K257" s="89" t="s">
        <v>88</v>
      </c>
      <c r="L257" s="89" t="s">
        <v>84</v>
      </c>
      <c r="M257" s="89"/>
      <c r="N257" s="89" t="s">
        <v>811</v>
      </c>
      <c r="O257" s="89" t="s">
        <v>802</v>
      </c>
    </row>
    <row r="258" spans="1:15" ht="40.799999999999997" x14ac:dyDescent="0.3">
      <c r="A258" s="88">
        <v>267</v>
      </c>
      <c r="B258" s="89" t="s">
        <v>79</v>
      </c>
      <c r="C258" s="236" t="s">
        <v>168</v>
      </c>
      <c r="D258" s="236"/>
      <c r="E258" s="89" t="s">
        <v>83</v>
      </c>
      <c r="F258" s="89" t="s">
        <v>245</v>
      </c>
      <c r="G258" s="89"/>
      <c r="H258" s="89"/>
      <c r="I258" s="89" t="s">
        <v>749</v>
      </c>
      <c r="J258" s="89" t="s">
        <v>750</v>
      </c>
      <c r="K258" s="89" t="s">
        <v>89</v>
      </c>
      <c r="L258" s="89" t="s">
        <v>84</v>
      </c>
      <c r="M258" s="89" t="s">
        <v>90</v>
      </c>
      <c r="N258" s="89" t="s">
        <v>1010</v>
      </c>
      <c r="O258" s="89" t="s">
        <v>802</v>
      </c>
    </row>
    <row r="259" spans="1:15" ht="40.799999999999997" x14ac:dyDescent="0.3">
      <c r="A259" s="88">
        <v>268</v>
      </c>
      <c r="B259" s="89" t="s">
        <v>79</v>
      </c>
      <c r="C259" s="236" t="s">
        <v>168</v>
      </c>
      <c r="D259" s="236"/>
      <c r="E259" s="89" t="s">
        <v>83</v>
      </c>
      <c r="F259" s="89" t="s">
        <v>245</v>
      </c>
      <c r="G259" s="89"/>
      <c r="H259" s="89"/>
      <c r="I259" s="89" t="s">
        <v>751</v>
      </c>
      <c r="J259" s="89" t="s">
        <v>752</v>
      </c>
      <c r="K259" s="89" t="s">
        <v>89</v>
      </c>
      <c r="L259" s="89" t="s">
        <v>84</v>
      </c>
      <c r="M259" s="89" t="s">
        <v>90</v>
      </c>
      <c r="N259" s="89" t="s">
        <v>1011</v>
      </c>
      <c r="O259" s="89" t="s">
        <v>802</v>
      </c>
    </row>
    <row r="260" spans="1:15" ht="40.799999999999997" x14ac:dyDescent="0.3">
      <c r="A260" s="88">
        <v>269</v>
      </c>
      <c r="B260" s="89" t="s">
        <v>79</v>
      </c>
      <c r="C260" s="236" t="s">
        <v>168</v>
      </c>
      <c r="D260" s="236"/>
      <c r="E260" s="89" t="s">
        <v>83</v>
      </c>
      <c r="F260" s="89" t="s">
        <v>245</v>
      </c>
      <c r="G260" s="89"/>
      <c r="H260" s="89"/>
      <c r="I260" s="89" t="s">
        <v>753</v>
      </c>
      <c r="J260" s="89" t="s">
        <v>754</v>
      </c>
      <c r="K260" s="89" t="s">
        <v>89</v>
      </c>
      <c r="L260" s="89" t="s">
        <v>84</v>
      </c>
      <c r="M260" s="89" t="s">
        <v>90</v>
      </c>
      <c r="N260" s="89" t="s">
        <v>981</v>
      </c>
      <c r="O260" s="89" t="s">
        <v>802</v>
      </c>
    </row>
    <row r="261" spans="1:15" ht="40.799999999999997" x14ac:dyDescent="0.3">
      <c r="A261" s="88">
        <v>270</v>
      </c>
      <c r="B261" s="89" t="s">
        <v>79</v>
      </c>
      <c r="C261" s="236" t="s">
        <v>168</v>
      </c>
      <c r="D261" s="236"/>
      <c r="E261" s="89" t="s">
        <v>83</v>
      </c>
      <c r="F261" s="89" t="s">
        <v>245</v>
      </c>
      <c r="G261" s="89"/>
      <c r="H261" s="89"/>
      <c r="I261" s="89" t="s">
        <v>755</v>
      </c>
      <c r="J261" s="89" t="s">
        <v>756</v>
      </c>
      <c r="K261" s="89" t="s">
        <v>89</v>
      </c>
      <c r="L261" s="89" t="s">
        <v>84</v>
      </c>
      <c r="M261" s="89" t="s">
        <v>90</v>
      </c>
      <c r="N261" s="89" t="s">
        <v>1012</v>
      </c>
      <c r="O261" s="89" t="s">
        <v>802</v>
      </c>
    </row>
    <row r="262" spans="1:15" ht="40.799999999999997" x14ac:dyDescent="0.3">
      <c r="A262" s="88">
        <v>271</v>
      </c>
      <c r="B262" s="89" t="s">
        <v>79</v>
      </c>
      <c r="C262" s="236" t="s">
        <v>168</v>
      </c>
      <c r="D262" s="236"/>
      <c r="E262" s="89" t="s">
        <v>83</v>
      </c>
      <c r="F262" s="89" t="s">
        <v>245</v>
      </c>
      <c r="G262" s="89"/>
      <c r="H262" s="89"/>
      <c r="I262" s="89" t="s">
        <v>757</v>
      </c>
      <c r="J262" s="89" t="s">
        <v>758</v>
      </c>
      <c r="K262" s="89" t="s">
        <v>89</v>
      </c>
      <c r="L262" s="89" t="s">
        <v>84</v>
      </c>
      <c r="M262" s="89" t="s">
        <v>90</v>
      </c>
      <c r="N262" s="89" t="s">
        <v>1013</v>
      </c>
      <c r="O262" s="89" t="s">
        <v>802</v>
      </c>
    </row>
    <row r="263" spans="1:15" ht="40.799999999999997" x14ac:dyDescent="0.3">
      <c r="A263" s="88">
        <v>272</v>
      </c>
      <c r="B263" s="89" t="s">
        <v>79</v>
      </c>
      <c r="C263" s="236" t="s">
        <v>168</v>
      </c>
      <c r="D263" s="236"/>
      <c r="E263" s="89" t="s">
        <v>83</v>
      </c>
      <c r="F263" s="89" t="s">
        <v>245</v>
      </c>
      <c r="G263" s="89"/>
      <c r="H263" s="89"/>
      <c r="I263" s="89" t="s">
        <v>759</v>
      </c>
      <c r="J263" s="89" t="s">
        <v>760</v>
      </c>
      <c r="K263" s="89" t="s">
        <v>89</v>
      </c>
      <c r="L263" s="89" t="s">
        <v>84</v>
      </c>
      <c r="M263" s="89" t="s">
        <v>90</v>
      </c>
      <c r="N263" s="89" t="s">
        <v>1014</v>
      </c>
      <c r="O263" s="89" t="s">
        <v>802</v>
      </c>
    </row>
    <row r="264" spans="1:15" ht="40.799999999999997" x14ac:dyDescent="0.3">
      <c r="A264" s="88">
        <v>273</v>
      </c>
      <c r="B264" s="89" t="s">
        <v>79</v>
      </c>
      <c r="C264" s="236" t="s">
        <v>168</v>
      </c>
      <c r="D264" s="236"/>
      <c r="E264" s="89" t="s">
        <v>83</v>
      </c>
      <c r="F264" s="89" t="s">
        <v>245</v>
      </c>
      <c r="G264" s="89"/>
      <c r="H264" s="89"/>
      <c r="I264" s="89" t="s">
        <v>761</v>
      </c>
      <c r="J264" s="89" t="s">
        <v>762</v>
      </c>
      <c r="K264" s="89" t="s">
        <v>89</v>
      </c>
      <c r="L264" s="89" t="s">
        <v>84</v>
      </c>
      <c r="M264" s="89" t="s">
        <v>90</v>
      </c>
      <c r="N264" s="89" t="s">
        <v>1003</v>
      </c>
      <c r="O264" s="89" t="s">
        <v>802</v>
      </c>
    </row>
    <row r="265" spans="1:15" ht="40.799999999999997" x14ac:dyDescent="0.3">
      <c r="A265" s="88">
        <v>274</v>
      </c>
      <c r="B265" s="89" t="s">
        <v>79</v>
      </c>
      <c r="C265" s="236" t="s">
        <v>168</v>
      </c>
      <c r="D265" s="236"/>
      <c r="E265" s="89" t="s">
        <v>83</v>
      </c>
      <c r="F265" s="89" t="s">
        <v>245</v>
      </c>
      <c r="G265" s="89"/>
      <c r="H265" s="89"/>
      <c r="I265" s="89" t="s">
        <v>763</v>
      </c>
      <c r="J265" s="89" t="s">
        <v>764</v>
      </c>
      <c r="K265" s="89" t="s">
        <v>89</v>
      </c>
      <c r="L265" s="89" t="s">
        <v>84</v>
      </c>
      <c r="M265" s="89" t="s">
        <v>90</v>
      </c>
      <c r="N265" s="89" t="s">
        <v>916</v>
      </c>
      <c r="O265" s="89" t="s">
        <v>802</v>
      </c>
    </row>
    <row r="266" spans="1:15" ht="40.799999999999997" x14ac:dyDescent="0.3">
      <c r="A266" s="88">
        <v>275</v>
      </c>
      <c r="B266" s="89" t="s">
        <v>79</v>
      </c>
      <c r="C266" s="236" t="s">
        <v>168</v>
      </c>
      <c r="D266" s="236"/>
      <c r="E266" s="89" t="s">
        <v>83</v>
      </c>
      <c r="F266" s="89" t="s">
        <v>245</v>
      </c>
      <c r="G266" s="89"/>
      <c r="H266" s="89"/>
      <c r="I266" s="89" t="s">
        <v>765</v>
      </c>
      <c r="J266" s="89" t="s">
        <v>766</v>
      </c>
      <c r="K266" s="89" t="s">
        <v>89</v>
      </c>
      <c r="L266" s="89" t="s">
        <v>84</v>
      </c>
      <c r="M266" s="89" t="s">
        <v>90</v>
      </c>
      <c r="N266" s="89" t="s">
        <v>1015</v>
      </c>
      <c r="O266" s="89" t="s">
        <v>802</v>
      </c>
    </row>
    <row r="267" spans="1:15" ht="40.799999999999997" x14ac:dyDescent="0.3">
      <c r="A267" s="88">
        <v>276</v>
      </c>
      <c r="B267" s="89" t="s">
        <v>79</v>
      </c>
      <c r="C267" s="236" t="s">
        <v>168</v>
      </c>
      <c r="D267" s="236"/>
      <c r="E267" s="89" t="s">
        <v>83</v>
      </c>
      <c r="F267" s="89" t="s">
        <v>245</v>
      </c>
      <c r="G267" s="89"/>
      <c r="H267" s="89"/>
      <c r="I267" s="89" t="s">
        <v>767</v>
      </c>
      <c r="J267" s="89" t="s">
        <v>768</v>
      </c>
      <c r="K267" s="89" t="s">
        <v>89</v>
      </c>
      <c r="L267" s="89" t="s">
        <v>84</v>
      </c>
      <c r="M267" s="89" t="s">
        <v>90</v>
      </c>
      <c r="N267" s="89" t="s">
        <v>981</v>
      </c>
      <c r="O267" s="89" t="s">
        <v>802</v>
      </c>
    </row>
    <row r="268" spans="1:15" ht="40.799999999999997" x14ac:dyDescent="0.3">
      <c r="A268" s="88">
        <v>277</v>
      </c>
      <c r="B268" s="89" t="s">
        <v>79</v>
      </c>
      <c r="C268" s="236" t="s">
        <v>168</v>
      </c>
      <c r="D268" s="236"/>
      <c r="E268" s="89" t="s">
        <v>83</v>
      </c>
      <c r="F268" s="89" t="s">
        <v>245</v>
      </c>
      <c r="G268" s="89"/>
      <c r="H268" s="89"/>
      <c r="I268" s="89" t="s">
        <v>769</v>
      </c>
      <c r="J268" s="89" t="s">
        <v>770</v>
      </c>
      <c r="K268" s="89" t="s">
        <v>89</v>
      </c>
      <c r="L268" s="89" t="s">
        <v>84</v>
      </c>
      <c r="M268" s="89" t="s">
        <v>90</v>
      </c>
      <c r="N268" s="89" t="s">
        <v>1016</v>
      </c>
      <c r="O268" s="89" t="s">
        <v>802</v>
      </c>
    </row>
    <row r="269" spans="1:15" x14ac:dyDescent="0.3">
      <c r="A269" s="88">
        <v>293</v>
      </c>
      <c r="B269" s="89" t="s">
        <v>79</v>
      </c>
      <c r="C269" s="236" t="s">
        <v>172</v>
      </c>
      <c r="D269" s="236"/>
      <c r="E269" s="89" t="s">
        <v>100</v>
      </c>
      <c r="F269" s="89"/>
      <c r="G269" s="89"/>
      <c r="H269" s="89"/>
      <c r="I269" s="89" t="s">
        <v>1017</v>
      </c>
      <c r="J269" s="89" t="s">
        <v>1018</v>
      </c>
      <c r="K269" s="89" t="s">
        <v>558</v>
      </c>
      <c r="L269" s="89" t="s">
        <v>484</v>
      </c>
      <c r="M269" s="89"/>
      <c r="N269" s="89" t="s">
        <v>1019</v>
      </c>
      <c r="O269" s="89" t="s">
        <v>802</v>
      </c>
    </row>
    <row r="270" spans="1:15" x14ac:dyDescent="0.3">
      <c r="A270" s="88">
        <v>294</v>
      </c>
      <c r="B270" s="89" t="s">
        <v>79</v>
      </c>
      <c r="C270" s="236" t="s">
        <v>172</v>
      </c>
      <c r="D270" s="236"/>
      <c r="E270" s="89" t="s">
        <v>100</v>
      </c>
      <c r="F270" s="89"/>
      <c r="G270" s="89"/>
      <c r="H270" s="89"/>
      <c r="I270" s="89" t="s">
        <v>1020</v>
      </c>
      <c r="J270" s="89" t="s">
        <v>1021</v>
      </c>
      <c r="K270" s="89" t="s">
        <v>1022</v>
      </c>
      <c r="L270" s="89" t="s">
        <v>484</v>
      </c>
      <c r="M270" s="89"/>
      <c r="N270" s="89" t="s">
        <v>919</v>
      </c>
      <c r="O270" s="89" t="s">
        <v>802</v>
      </c>
    </row>
    <row r="271" spans="1:15" ht="40.799999999999997" x14ac:dyDescent="0.3">
      <c r="A271" s="88">
        <v>295</v>
      </c>
      <c r="B271" s="89" t="s">
        <v>79</v>
      </c>
      <c r="C271" s="236" t="s">
        <v>172</v>
      </c>
      <c r="D271" s="236"/>
      <c r="E271" s="89" t="s">
        <v>100</v>
      </c>
      <c r="F271" s="89" t="s">
        <v>1023</v>
      </c>
      <c r="G271" s="89"/>
      <c r="H271" s="89"/>
      <c r="I271" s="89" t="s">
        <v>559</v>
      </c>
      <c r="J271" s="89" t="s">
        <v>560</v>
      </c>
      <c r="K271" s="89" t="s">
        <v>102</v>
      </c>
      <c r="L271" s="89" t="s">
        <v>484</v>
      </c>
      <c r="M271" s="89" t="s">
        <v>90</v>
      </c>
      <c r="N271" s="89" t="s">
        <v>929</v>
      </c>
      <c r="O271" s="89" t="s">
        <v>802</v>
      </c>
    </row>
    <row r="272" spans="1:15" ht="40.799999999999997" x14ac:dyDescent="0.3">
      <c r="A272" s="88">
        <v>296</v>
      </c>
      <c r="B272" s="89" t="s">
        <v>79</v>
      </c>
      <c r="C272" s="236" t="s">
        <v>172</v>
      </c>
      <c r="D272" s="236"/>
      <c r="E272" s="89" t="s">
        <v>100</v>
      </c>
      <c r="F272" s="89" t="s">
        <v>1023</v>
      </c>
      <c r="G272" s="89"/>
      <c r="H272" s="89"/>
      <c r="I272" s="89" t="s">
        <v>570</v>
      </c>
      <c r="J272" s="89" t="s">
        <v>571</v>
      </c>
      <c r="K272" s="89" t="s">
        <v>102</v>
      </c>
      <c r="L272" s="89" t="s">
        <v>484</v>
      </c>
      <c r="M272" s="89" t="s">
        <v>90</v>
      </c>
      <c r="N272" s="89" t="s">
        <v>832</v>
      </c>
      <c r="O272" s="89" t="s">
        <v>802</v>
      </c>
    </row>
    <row r="273" spans="1:15" ht="40.799999999999997" x14ac:dyDescent="0.3">
      <c r="A273" s="88">
        <v>297</v>
      </c>
      <c r="B273" s="89" t="s">
        <v>79</v>
      </c>
      <c r="C273" s="236" t="s">
        <v>172</v>
      </c>
      <c r="D273" s="236"/>
      <c r="E273" s="89" t="s">
        <v>100</v>
      </c>
      <c r="F273" s="89" t="s">
        <v>1023</v>
      </c>
      <c r="G273" s="89"/>
      <c r="H273" s="89"/>
      <c r="I273" s="89" t="s">
        <v>588</v>
      </c>
      <c r="J273" s="89" t="s">
        <v>589</v>
      </c>
      <c r="K273" s="89" t="s">
        <v>102</v>
      </c>
      <c r="L273" s="89" t="s">
        <v>484</v>
      </c>
      <c r="M273" s="89" t="s">
        <v>90</v>
      </c>
      <c r="N273" s="89" t="s">
        <v>805</v>
      </c>
      <c r="O273" s="89" t="s">
        <v>802</v>
      </c>
    </row>
    <row r="274" spans="1:15" ht="20.399999999999999" x14ac:dyDescent="0.3">
      <c r="A274" s="88">
        <v>298</v>
      </c>
      <c r="B274" s="89" t="s">
        <v>79</v>
      </c>
      <c r="C274" s="236" t="s">
        <v>172</v>
      </c>
      <c r="D274" s="236"/>
      <c r="E274" s="89" t="s">
        <v>100</v>
      </c>
      <c r="F274" s="89" t="s">
        <v>1023</v>
      </c>
      <c r="G274" s="89"/>
      <c r="H274" s="89"/>
      <c r="I274" s="89" t="s">
        <v>1024</v>
      </c>
      <c r="J274" s="89" t="s">
        <v>1025</v>
      </c>
      <c r="K274" s="89" t="s">
        <v>1026</v>
      </c>
      <c r="L274" s="89" t="s">
        <v>484</v>
      </c>
      <c r="M274" s="89" t="s">
        <v>1027</v>
      </c>
      <c r="N274" s="89" t="s">
        <v>817</v>
      </c>
      <c r="O274" s="89" t="s">
        <v>802</v>
      </c>
    </row>
    <row r="275" spans="1:15" ht="20.399999999999999" x14ac:dyDescent="0.3">
      <c r="A275" s="88">
        <v>299</v>
      </c>
      <c r="B275" s="89" t="s">
        <v>79</v>
      </c>
      <c r="C275" s="236" t="s">
        <v>172</v>
      </c>
      <c r="D275" s="236"/>
      <c r="E275" s="89" t="s">
        <v>100</v>
      </c>
      <c r="F275" s="89" t="s">
        <v>1023</v>
      </c>
      <c r="G275" s="89"/>
      <c r="H275" s="89"/>
      <c r="I275" s="89" t="s">
        <v>515</v>
      </c>
      <c r="J275" s="89" t="s">
        <v>516</v>
      </c>
      <c r="K275" s="89" t="s">
        <v>1026</v>
      </c>
      <c r="L275" s="89" t="s">
        <v>484</v>
      </c>
      <c r="M275" s="89" t="s">
        <v>1027</v>
      </c>
      <c r="N275" s="89" t="s">
        <v>1003</v>
      </c>
      <c r="O275" s="89" t="s">
        <v>802</v>
      </c>
    </row>
    <row r="276" spans="1:15" ht="20.399999999999999" x14ac:dyDescent="0.3">
      <c r="A276" s="88">
        <v>300</v>
      </c>
      <c r="B276" s="89" t="s">
        <v>79</v>
      </c>
      <c r="C276" s="236" t="s">
        <v>172</v>
      </c>
      <c r="D276" s="236"/>
      <c r="E276" s="89" t="s">
        <v>100</v>
      </c>
      <c r="F276" s="89" t="s">
        <v>1023</v>
      </c>
      <c r="G276" s="89"/>
      <c r="H276" s="89"/>
      <c r="I276" s="89" t="s">
        <v>1028</v>
      </c>
      <c r="J276" s="89" t="s">
        <v>1029</v>
      </c>
      <c r="K276" s="89" t="s">
        <v>1026</v>
      </c>
      <c r="L276" s="89" t="s">
        <v>484</v>
      </c>
      <c r="M276" s="89" t="s">
        <v>1027</v>
      </c>
      <c r="N276" s="89" t="s">
        <v>1030</v>
      </c>
      <c r="O276" s="89" t="s">
        <v>802</v>
      </c>
    </row>
    <row r="277" spans="1:15" ht="20.399999999999999" x14ac:dyDescent="0.3">
      <c r="A277" s="88">
        <v>301</v>
      </c>
      <c r="B277" s="89" t="s">
        <v>79</v>
      </c>
      <c r="C277" s="236" t="s">
        <v>172</v>
      </c>
      <c r="D277" s="236"/>
      <c r="E277" s="89" t="s">
        <v>100</v>
      </c>
      <c r="F277" s="89" t="s">
        <v>1023</v>
      </c>
      <c r="G277" s="89"/>
      <c r="H277" s="89"/>
      <c r="I277" s="89" t="s">
        <v>1031</v>
      </c>
      <c r="J277" s="89" t="s">
        <v>1032</v>
      </c>
      <c r="K277" s="89" t="s">
        <v>1026</v>
      </c>
      <c r="L277" s="89" t="s">
        <v>484</v>
      </c>
      <c r="M277" s="89" t="s">
        <v>1027</v>
      </c>
      <c r="N277" s="89" t="s">
        <v>927</v>
      </c>
      <c r="O277" s="89" t="s">
        <v>802</v>
      </c>
    </row>
    <row r="278" spans="1:15" x14ac:dyDescent="0.3">
      <c r="A278" s="88">
        <v>302</v>
      </c>
      <c r="B278" s="89" t="s">
        <v>79</v>
      </c>
      <c r="C278" s="236" t="s">
        <v>172</v>
      </c>
      <c r="D278" s="236"/>
      <c r="E278" s="89" t="s">
        <v>107</v>
      </c>
      <c r="F278" s="89"/>
      <c r="G278" s="89"/>
      <c r="H278" s="89"/>
      <c r="I278" s="89" t="s">
        <v>1033</v>
      </c>
      <c r="J278" s="89" t="s">
        <v>215</v>
      </c>
      <c r="K278" s="89" t="s">
        <v>216</v>
      </c>
      <c r="L278" s="89" t="s">
        <v>98</v>
      </c>
      <c r="M278" s="89"/>
      <c r="N278" s="89" t="s">
        <v>1034</v>
      </c>
      <c r="O278" s="89" t="s">
        <v>802</v>
      </c>
    </row>
    <row r="279" spans="1:15" ht="20.399999999999999" x14ac:dyDescent="0.3">
      <c r="A279" s="88">
        <v>303</v>
      </c>
      <c r="B279" s="89" t="s">
        <v>79</v>
      </c>
      <c r="C279" s="236" t="s">
        <v>172</v>
      </c>
      <c r="D279" s="236"/>
      <c r="E279" s="89" t="s">
        <v>107</v>
      </c>
      <c r="F279" s="89" t="s">
        <v>271</v>
      </c>
      <c r="G279" s="89"/>
      <c r="H279" s="89"/>
      <c r="I279" s="89" t="s">
        <v>1035</v>
      </c>
      <c r="J279" s="89" t="s">
        <v>273</v>
      </c>
      <c r="K279" s="89" t="s">
        <v>116</v>
      </c>
      <c r="L279" s="89" t="s">
        <v>98</v>
      </c>
      <c r="M279" s="89"/>
      <c r="N279" s="89" t="s">
        <v>826</v>
      </c>
      <c r="O279" s="89" t="s">
        <v>802</v>
      </c>
    </row>
    <row r="280" spans="1:15" ht="20.399999999999999" x14ac:dyDescent="0.3">
      <c r="A280" s="88">
        <v>304</v>
      </c>
      <c r="B280" s="89" t="s">
        <v>79</v>
      </c>
      <c r="C280" s="236" t="s">
        <v>172</v>
      </c>
      <c r="D280" s="236"/>
      <c r="E280" s="89" t="s">
        <v>107</v>
      </c>
      <c r="F280" s="89" t="s">
        <v>271</v>
      </c>
      <c r="G280" s="89"/>
      <c r="H280" s="89"/>
      <c r="I280" s="89" t="s">
        <v>1036</v>
      </c>
      <c r="J280" s="89" t="s">
        <v>278</v>
      </c>
      <c r="K280" s="89" t="s">
        <v>276</v>
      </c>
      <c r="L280" s="89" t="s">
        <v>98</v>
      </c>
      <c r="M280" s="89"/>
      <c r="N280" s="89" t="s">
        <v>1037</v>
      </c>
      <c r="O280" s="89" t="s">
        <v>802</v>
      </c>
    </row>
    <row r="281" spans="1:15" ht="20.399999999999999" x14ac:dyDescent="0.3">
      <c r="A281" s="88">
        <v>305</v>
      </c>
      <c r="B281" s="89" t="s">
        <v>79</v>
      </c>
      <c r="C281" s="236" t="s">
        <v>172</v>
      </c>
      <c r="D281" s="236"/>
      <c r="E281" s="89" t="s">
        <v>107</v>
      </c>
      <c r="F281" s="89" t="s">
        <v>271</v>
      </c>
      <c r="G281" s="89"/>
      <c r="H281" s="89"/>
      <c r="I281" s="89" t="s">
        <v>1038</v>
      </c>
      <c r="J281" s="89" t="s">
        <v>280</v>
      </c>
      <c r="K281" s="89" t="s">
        <v>276</v>
      </c>
      <c r="L281" s="89" t="s">
        <v>98</v>
      </c>
      <c r="M281" s="89"/>
      <c r="N281" s="89" t="s">
        <v>1039</v>
      </c>
      <c r="O281" s="89" t="s">
        <v>802</v>
      </c>
    </row>
    <row r="282" spans="1:15" ht="20.399999999999999" x14ac:dyDescent="0.3">
      <c r="A282" s="88">
        <v>306</v>
      </c>
      <c r="B282" s="89" t="s">
        <v>79</v>
      </c>
      <c r="C282" s="236" t="s">
        <v>172</v>
      </c>
      <c r="D282" s="236"/>
      <c r="E282" s="89" t="s">
        <v>107</v>
      </c>
      <c r="F282" s="89" t="s">
        <v>271</v>
      </c>
      <c r="G282" s="89"/>
      <c r="H282" s="89"/>
      <c r="I282" s="89" t="s">
        <v>1040</v>
      </c>
      <c r="J282" s="89" t="s">
        <v>282</v>
      </c>
      <c r="K282" s="89" t="s">
        <v>276</v>
      </c>
      <c r="L282" s="89" t="s">
        <v>98</v>
      </c>
      <c r="M282" s="89"/>
      <c r="N282" s="89" t="s">
        <v>1037</v>
      </c>
      <c r="O282" s="89" t="s">
        <v>802</v>
      </c>
    </row>
    <row r="283" spans="1:15" ht="20.399999999999999" x14ac:dyDescent="0.3">
      <c r="A283" s="88">
        <v>307</v>
      </c>
      <c r="B283" s="89" t="s">
        <v>79</v>
      </c>
      <c r="C283" s="236" t="s">
        <v>172</v>
      </c>
      <c r="D283" s="236"/>
      <c r="E283" s="89" t="s">
        <v>107</v>
      </c>
      <c r="F283" s="89" t="s">
        <v>271</v>
      </c>
      <c r="G283" s="89"/>
      <c r="H283" s="89"/>
      <c r="I283" s="89" t="s">
        <v>1041</v>
      </c>
      <c r="J283" s="89" t="s">
        <v>284</v>
      </c>
      <c r="K283" s="89" t="s">
        <v>276</v>
      </c>
      <c r="L283" s="89" t="s">
        <v>98</v>
      </c>
      <c r="M283" s="89"/>
      <c r="N283" s="89" t="s">
        <v>1037</v>
      </c>
      <c r="O283" s="89" t="s">
        <v>802</v>
      </c>
    </row>
    <row r="284" spans="1:15" ht="20.399999999999999" x14ac:dyDescent="0.3">
      <c r="A284" s="88">
        <v>308</v>
      </c>
      <c r="B284" s="89" t="s">
        <v>79</v>
      </c>
      <c r="C284" s="236" t="s">
        <v>172</v>
      </c>
      <c r="D284" s="236"/>
      <c r="E284" s="89" t="s">
        <v>107</v>
      </c>
      <c r="F284" s="89" t="s">
        <v>271</v>
      </c>
      <c r="G284" s="89"/>
      <c r="H284" s="89"/>
      <c r="I284" s="89" t="s">
        <v>1042</v>
      </c>
      <c r="J284" s="89" t="s">
        <v>286</v>
      </c>
      <c r="K284" s="89" t="s">
        <v>287</v>
      </c>
      <c r="L284" s="89" t="s">
        <v>98</v>
      </c>
      <c r="M284" s="89"/>
      <c r="N284" s="89" t="s">
        <v>832</v>
      </c>
      <c r="O284" s="89" t="s">
        <v>802</v>
      </c>
    </row>
    <row r="285" spans="1:15" ht="20.399999999999999" x14ac:dyDescent="0.3">
      <c r="A285" s="88">
        <v>309</v>
      </c>
      <c r="B285" s="89" t="s">
        <v>79</v>
      </c>
      <c r="C285" s="236" t="s">
        <v>172</v>
      </c>
      <c r="D285" s="236"/>
      <c r="E285" s="89" t="s">
        <v>107</v>
      </c>
      <c r="F285" s="89" t="s">
        <v>108</v>
      </c>
      <c r="G285" s="89"/>
      <c r="H285" s="89"/>
      <c r="I285" s="89" t="s">
        <v>1043</v>
      </c>
      <c r="J285" s="89" t="s">
        <v>1044</v>
      </c>
      <c r="K285" s="89" t="s">
        <v>111</v>
      </c>
      <c r="L285" s="89" t="s">
        <v>98</v>
      </c>
      <c r="M285" s="89" t="s">
        <v>1045</v>
      </c>
      <c r="N285" s="89" t="s">
        <v>1046</v>
      </c>
      <c r="O285" s="89" t="s">
        <v>802</v>
      </c>
    </row>
    <row r="286" spans="1:15" ht="20.399999999999999" x14ac:dyDescent="0.3">
      <c r="A286" s="88">
        <v>310</v>
      </c>
      <c r="B286" s="89" t="s">
        <v>79</v>
      </c>
      <c r="C286" s="236" t="s">
        <v>172</v>
      </c>
      <c r="D286" s="236"/>
      <c r="E286" s="89" t="s">
        <v>107</v>
      </c>
      <c r="F286" s="89" t="s">
        <v>108</v>
      </c>
      <c r="G286" s="89"/>
      <c r="H286" s="89"/>
      <c r="I286" s="89" t="s">
        <v>1047</v>
      </c>
      <c r="J286" s="89" t="s">
        <v>1048</v>
      </c>
      <c r="K286" s="89" t="s">
        <v>111</v>
      </c>
      <c r="L286" s="89" t="s">
        <v>98</v>
      </c>
      <c r="M286" s="89" t="s">
        <v>1045</v>
      </c>
      <c r="N286" s="89" t="s">
        <v>921</v>
      </c>
      <c r="O286" s="89" t="s">
        <v>802</v>
      </c>
    </row>
    <row r="287" spans="1:15" ht="20.399999999999999" x14ac:dyDescent="0.3">
      <c r="A287" s="88">
        <v>311</v>
      </c>
      <c r="B287" s="89" t="s">
        <v>79</v>
      </c>
      <c r="C287" s="236" t="s">
        <v>172</v>
      </c>
      <c r="D287" s="236"/>
      <c r="E287" s="89" t="s">
        <v>107</v>
      </c>
      <c r="F287" s="89" t="s">
        <v>108</v>
      </c>
      <c r="G287" s="89"/>
      <c r="H287" s="89"/>
      <c r="I287" s="89" t="s">
        <v>1049</v>
      </c>
      <c r="J287" s="89" t="s">
        <v>1050</v>
      </c>
      <c r="K287" s="89" t="s">
        <v>111</v>
      </c>
      <c r="L287" s="89" t="s">
        <v>98</v>
      </c>
      <c r="M287" s="89" t="s">
        <v>1045</v>
      </c>
      <c r="N287" s="89" t="s">
        <v>1051</v>
      </c>
      <c r="O287" s="89" t="s">
        <v>802</v>
      </c>
    </row>
    <row r="288" spans="1:15" ht="20.399999999999999" x14ac:dyDescent="0.3">
      <c r="A288" s="88">
        <v>312</v>
      </c>
      <c r="B288" s="89" t="s">
        <v>79</v>
      </c>
      <c r="C288" s="236" t="s">
        <v>172</v>
      </c>
      <c r="D288" s="236"/>
      <c r="E288" s="89" t="s">
        <v>107</v>
      </c>
      <c r="F288" s="89" t="s">
        <v>108</v>
      </c>
      <c r="G288" s="89"/>
      <c r="H288" s="89"/>
      <c r="I288" s="89" t="s">
        <v>1052</v>
      </c>
      <c r="J288" s="89" t="s">
        <v>1053</v>
      </c>
      <c r="K288" s="89" t="s">
        <v>111</v>
      </c>
      <c r="L288" s="89" t="s">
        <v>98</v>
      </c>
      <c r="M288" s="89" t="s">
        <v>1045</v>
      </c>
      <c r="N288" s="89" t="s">
        <v>1054</v>
      </c>
      <c r="O288" s="89" t="s">
        <v>802</v>
      </c>
    </row>
    <row r="289" spans="1:15" x14ac:dyDescent="0.3">
      <c r="A289" s="88">
        <v>313</v>
      </c>
      <c r="B289" s="89" t="s">
        <v>79</v>
      </c>
      <c r="C289" s="236" t="s">
        <v>172</v>
      </c>
      <c r="D289" s="236"/>
      <c r="E289" s="89" t="s">
        <v>107</v>
      </c>
      <c r="F289" s="89" t="s">
        <v>115</v>
      </c>
      <c r="G289" s="89"/>
      <c r="H289" s="89"/>
      <c r="I289" s="89" t="s">
        <v>1055</v>
      </c>
      <c r="J289" s="89" t="s">
        <v>250</v>
      </c>
      <c r="K289" s="89" t="s">
        <v>117</v>
      </c>
      <c r="L289" s="89" t="s">
        <v>98</v>
      </c>
      <c r="M289" s="89"/>
      <c r="N289" s="89" t="s">
        <v>1037</v>
      </c>
      <c r="O289" s="89" t="s">
        <v>802</v>
      </c>
    </row>
    <row r="290" spans="1:15" ht="20.399999999999999" x14ac:dyDescent="0.3">
      <c r="A290" s="88">
        <v>314</v>
      </c>
      <c r="B290" s="89" t="s">
        <v>79</v>
      </c>
      <c r="C290" s="236" t="s">
        <v>172</v>
      </c>
      <c r="D290" s="236"/>
      <c r="E290" s="89" t="s">
        <v>107</v>
      </c>
      <c r="F290" s="89" t="s">
        <v>115</v>
      </c>
      <c r="G290" s="89"/>
      <c r="H290" s="89"/>
      <c r="I290" s="89" t="s">
        <v>1056</v>
      </c>
      <c r="J290" s="89" t="s">
        <v>252</v>
      </c>
      <c r="K290" s="89" t="s">
        <v>118</v>
      </c>
      <c r="L290" s="89" t="s">
        <v>98</v>
      </c>
      <c r="M290" s="89" t="s">
        <v>1057</v>
      </c>
      <c r="N290" s="89" t="s">
        <v>813</v>
      </c>
      <c r="O290" s="89" t="s">
        <v>802</v>
      </c>
    </row>
    <row r="291" spans="1:15" ht="20.399999999999999" x14ac:dyDescent="0.3">
      <c r="A291" s="88">
        <v>315</v>
      </c>
      <c r="B291" s="89" t="s">
        <v>79</v>
      </c>
      <c r="C291" s="236" t="s">
        <v>172</v>
      </c>
      <c r="D291" s="236"/>
      <c r="E291" s="89" t="s">
        <v>107</v>
      </c>
      <c r="F291" s="89" t="s">
        <v>115</v>
      </c>
      <c r="G291" s="89"/>
      <c r="H291" s="89"/>
      <c r="I291" s="89" t="s">
        <v>1058</v>
      </c>
      <c r="J291" s="89" t="s">
        <v>254</v>
      </c>
      <c r="K291" s="89" t="s">
        <v>118</v>
      </c>
      <c r="L291" s="89" t="s">
        <v>98</v>
      </c>
      <c r="M291" s="89" t="s">
        <v>1057</v>
      </c>
      <c r="N291" s="89" t="s">
        <v>1037</v>
      </c>
      <c r="O291" s="89" t="s">
        <v>802</v>
      </c>
    </row>
    <row r="292" spans="1:15" ht="20.399999999999999" x14ac:dyDescent="0.3">
      <c r="A292" s="88">
        <v>316</v>
      </c>
      <c r="B292" s="89" t="s">
        <v>79</v>
      </c>
      <c r="C292" s="236" t="s">
        <v>172</v>
      </c>
      <c r="D292" s="236"/>
      <c r="E292" s="89" t="s">
        <v>107</v>
      </c>
      <c r="F292" s="89" t="s">
        <v>115</v>
      </c>
      <c r="G292" s="89"/>
      <c r="H292" s="89"/>
      <c r="I292" s="89" t="s">
        <v>1059</v>
      </c>
      <c r="J292" s="89" t="s">
        <v>256</v>
      </c>
      <c r="K292" s="89" t="s">
        <v>118</v>
      </c>
      <c r="L292" s="89" t="s">
        <v>98</v>
      </c>
      <c r="M292" s="89" t="s">
        <v>1057</v>
      </c>
      <c r="N292" s="89" t="s">
        <v>1037</v>
      </c>
      <c r="O292" s="89" t="s">
        <v>802</v>
      </c>
    </row>
    <row r="293" spans="1:15" ht="20.399999999999999" x14ac:dyDescent="0.3">
      <c r="A293" s="88">
        <v>317</v>
      </c>
      <c r="B293" s="89" t="s">
        <v>79</v>
      </c>
      <c r="C293" s="236" t="s">
        <v>172</v>
      </c>
      <c r="D293" s="236"/>
      <c r="E293" s="89" t="s">
        <v>107</v>
      </c>
      <c r="F293" s="89" t="s">
        <v>115</v>
      </c>
      <c r="G293" s="89"/>
      <c r="H293" s="89"/>
      <c r="I293" s="89" t="s">
        <v>1060</v>
      </c>
      <c r="J293" s="89" t="s">
        <v>260</v>
      </c>
      <c r="K293" s="89" t="s">
        <v>118</v>
      </c>
      <c r="L293" s="89" t="s">
        <v>98</v>
      </c>
      <c r="M293" s="89" t="s">
        <v>1057</v>
      </c>
      <c r="N293" s="89" t="s">
        <v>801</v>
      </c>
      <c r="O293" s="89" t="s">
        <v>802</v>
      </c>
    </row>
    <row r="294" spans="1:15" ht="20.399999999999999" x14ac:dyDescent="0.3">
      <c r="A294" s="88">
        <v>318</v>
      </c>
      <c r="B294" s="89" t="s">
        <v>79</v>
      </c>
      <c r="C294" s="236" t="s">
        <v>172</v>
      </c>
      <c r="D294" s="236"/>
      <c r="E294" s="89" t="s">
        <v>107</v>
      </c>
      <c r="F294" s="89" t="s">
        <v>115</v>
      </c>
      <c r="G294" s="89"/>
      <c r="H294" s="89"/>
      <c r="I294" s="89" t="s">
        <v>1061</v>
      </c>
      <c r="J294" s="89" t="s">
        <v>1062</v>
      </c>
      <c r="K294" s="89" t="s">
        <v>1063</v>
      </c>
      <c r="L294" s="89" t="s">
        <v>98</v>
      </c>
      <c r="M294" s="89" t="s">
        <v>1064</v>
      </c>
      <c r="N294" s="89" t="s">
        <v>1065</v>
      </c>
      <c r="O294" s="89" t="s">
        <v>802</v>
      </c>
    </row>
    <row r="295" spans="1:15" ht="20.399999999999999" x14ac:dyDescent="0.3">
      <c r="A295" s="88">
        <v>319</v>
      </c>
      <c r="B295" s="89" t="s">
        <v>79</v>
      </c>
      <c r="C295" s="236" t="s">
        <v>172</v>
      </c>
      <c r="D295" s="236"/>
      <c r="E295" s="89" t="s">
        <v>107</v>
      </c>
      <c r="F295" s="89" t="s">
        <v>115</v>
      </c>
      <c r="G295" s="89"/>
      <c r="H295" s="89"/>
      <c r="I295" s="89" t="s">
        <v>1066</v>
      </c>
      <c r="J295" s="89" t="s">
        <v>1067</v>
      </c>
      <c r="K295" s="89" t="s">
        <v>1063</v>
      </c>
      <c r="L295" s="89" t="s">
        <v>98</v>
      </c>
      <c r="M295" s="89" t="s">
        <v>1064</v>
      </c>
      <c r="N295" s="89" t="s">
        <v>1065</v>
      </c>
      <c r="O295" s="89" t="s">
        <v>802</v>
      </c>
    </row>
    <row r="296" spans="1:15" ht="20.399999999999999" x14ac:dyDescent="0.3">
      <c r="A296" s="88">
        <v>320</v>
      </c>
      <c r="B296" s="89" t="s">
        <v>79</v>
      </c>
      <c r="C296" s="236" t="s">
        <v>172</v>
      </c>
      <c r="D296" s="236"/>
      <c r="E296" s="89" t="s">
        <v>107</v>
      </c>
      <c r="F296" s="89" t="s">
        <v>115</v>
      </c>
      <c r="G296" s="89"/>
      <c r="H296" s="89"/>
      <c r="I296" s="89" t="s">
        <v>1068</v>
      </c>
      <c r="J296" s="89" t="s">
        <v>1069</v>
      </c>
      <c r="K296" s="89" t="s">
        <v>1063</v>
      </c>
      <c r="L296" s="89" t="s">
        <v>98</v>
      </c>
      <c r="M296" s="89" t="s">
        <v>1064</v>
      </c>
      <c r="N296" s="89" t="s">
        <v>1070</v>
      </c>
      <c r="O296" s="89" t="s">
        <v>802</v>
      </c>
    </row>
    <row r="297" spans="1:15" ht="20.399999999999999" x14ac:dyDescent="0.3">
      <c r="A297" s="88">
        <v>321</v>
      </c>
      <c r="B297" s="89" t="s">
        <v>79</v>
      </c>
      <c r="C297" s="236" t="s">
        <v>172</v>
      </c>
      <c r="D297" s="236"/>
      <c r="E297" s="89" t="s">
        <v>107</v>
      </c>
      <c r="F297" s="89" t="s">
        <v>115</v>
      </c>
      <c r="G297" s="89"/>
      <c r="H297" s="89"/>
      <c r="I297" s="89" t="s">
        <v>1071</v>
      </c>
      <c r="J297" s="89" t="s">
        <v>1072</v>
      </c>
      <c r="K297" s="89" t="s">
        <v>1063</v>
      </c>
      <c r="L297" s="89" t="s">
        <v>98</v>
      </c>
      <c r="M297" s="89" t="s">
        <v>1064</v>
      </c>
      <c r="N297" s="89" t="s">
        <v>801</v>
      </c>
      <c r="O297" s="89" t="s">
        <v>802</v>
      </c>
    </row>
    <row r="298" spans="1:15" ht="20.399999999999999" x14ac:dyDescent="0.3">
      <c r="A298" s="88">
        <v>322</v>
      </c>
      <c r="B298" s="89" t="s">
        <v>79</v>
      </c>
      <c r="C298" s="236" t="s">
        <v>172</v>
      </c>
      <c r="D298" s="236"/>
      <c r="E298" s="89" t="s">
        <v>107</v>
      </c>
      <c r="F298" s="89" t="s">
        <v>115</v>
      </c>
      <c r="G298" s="89" t="s">
        <v>261</v>
      </c>
      <c r="H298" s="89"/>
      <c r="I298" s="89" t="s">
        <v>1073</v>
      </c>
      <c r="J298" s="89" t="s">
        <v>263</v>
      </c>
      <c r="K298" s="89" t="s">
        <v>264</v>
      </c>
      <c r="L298" s="89" t="s">
        <v>98</v>
      </c>
      <c r="M298" s="89" t="s">
        <v>1064</v>
      </c>
      <c r="N298" s="89" t="s">
        <v>1037</v>
      </c>
      <c r="O298" s="89" t="s">
        <v>802</v>
      </c>
    </row>
    <row r="299" spans="1:15" ht="20.399999999999999" x14ac:dyDescent="0.3">
      <c r="A299" s="88">
        <v>323</v>
      </c>
      <c r="B299" s="89" t="s">
        <v>79</v>
      </c>
      <c r="C299" s="236" t="s">
        <v>172</v>
      </c>
      <c r="D299" s="236"/>
      <c r="E299" s="89" t="s">
        <v>107</v>
      </c>
      <c r="F299" s="89" t="s">
        <v>115</v>
      </c>
      <c r="G299" s="89" t="s">
        <v>261</v>
      </c>
      <c r="H299" s="89"/>
      <c r="I299" s="89" t="s">
        <v>1074</v>
      </c>
      <c r="J299" s="89" t="s">
        <v>266</v>
      </c>
      <c r="K299" s="89" t="s">
        <v>264</v>
      </c>
      <c r="L299" s="89" t="s">
        <v>98</v>
      </c>
      <c r="M299" s="89" t="s">
        <v>1064</v>
      </c>
      <c r="N299" s="89" t="s">
        <v>1037</v>
      </c>
      <c r="O299" s="89" t="s">
        <v>802</v>
      </c>
    </row>
    <row r="300" spans="1:15" ht="20.399999999999999" x14ac:dyDescent="0.3">
      <c r="A300" s="88">
        <v>324</v>
      </c>
      <c r="B300" s="89" t="s">
        <v>79</v>
      </c>
      <c r="C300" s="236" t="s">
        <v>172</v>
      </c>
      <c r="D300" s="236"/>
      <c r="E300" s="89" t="s">
        <v>107</v>
      </c>
      <c r="F300" s="89" t="s">
        <v>115</v>
      </c>
      <c r="G300" s="89" t="s">
        <v>261</v>
      </c>
      <c r="H300" s="89"/>
      <c r="I300" s="89" t="s">
        <v>1075</v>
      </c>
      <c r="J300" s="89" t="s">
        <v>268</v>
      </c>
      <c r="K300" s="89" t="s">
        <v>264</v>
      </c>
      <c r="L300" s="89" t="s">
        <v>98</v>
      </c>
      <c r="M300" s="89" t="s">
        <v>1064</v>
      </c>
      <c r="N300" s="89" t="s">
        <v>1037</v>
      </c>
      <c r="O300" s="89" t="s">
        <v>802</v>
      </c>
    </row>
    <row r="301" spans="1:15" ht="20.399999999999999" x14ac:dyDescent="0.3">
      <c r="A301" s="88">
        <v>325</v>
      </c>
      <c r="B301" s="89" t="s">
        <v>79</v>
      </c>
      <c r="C301" s="236" t="s">
        <v>172</v>
      </c>
      <c r="D301" s="236"/>
      <c r="E301" s="89" t="s">
        <v>107</v>
      </c>
      <c r="F301" s="89" t="s">
        <v>115</v>
      </c>
      <c r="G301" s="89" t="s">
        <v>261</v>
      </c>
      <c r="H301" s="89"/>
      <c r="I301" s="89" t="s">
        <v>1076</v>
      </c>
      <c r="J301" s="89" t="s">
        <v>270</v>
      </c>
      <c r="K301" s="89" t="s">
        <v>264</v>
      </c>
      <c r="L301" s="89" t="s">
        <v>98</v>
      </c>
      <c r="M301" s="89" t="s">
        <v>1064</v>
      </c>
      <c r="N301" s="89" t="s">
        <v>885</v>
      </c>
      <c r="O301" s="89" t="s">
        <v>802</v>
      </c>
    </row>
    <row r="302" spans="1:15" x14ac:dyDescent="0.3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</row>
    <row r="303" spans="1:15" ht="17.399999999999999" x14ac:dyDescent="0.3">
      <c r="A303" s="237" t="s">
        <v>71</v>
      </c>
      <c r="B303" s="237"/>
      <c r="C303" s="237"/>
      <c r="D303" s="237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</row>
    <row r="304" spans="1:15" ht="17.399999999999999" x14ac:dyDescent="0.3">
      <c r="A304" s="237" t="s">
        <v>139</v>
      </c>
      <c r="B304" s="237"/>
      <c r="C304" s="237"/>
      <c r="D304" s="237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</row>
    <row r="305" spans="1:4" x14ac:dyDescent="0.3">
      <c r="A305" s="85"/>
      <c r="B305" s="85"/>
      <c r="C305" s="85"/>
      <c r="D305" s="85"/>
    </row>
    <row r="306" spans="1:4" x14ac:dyDescent="0.3">
      <c r="A306" s="238" t="s">
        <v>140</v>
      </c>
      <c r="B306" s="238"/>
      <c r="C306" s="238"/>
      <c r="D306" s="84"/>
    </row>
    <row r="307" spans="1:4" x14ac:dyDescent="0.3">
      <c r="A307" s="236" t="s">
        <v>107</v>
      </c>
      <c r="B307" s="236"/>
      <c r="C307" s="236"/>
      <c r="D307" s="236"/>
    </row>
    <row r="308" spans="1:4" x14ac:dyDescent="0.3">
      <c r="A308" s="236" t="s">
        <v>218</v>
      </c>
      <c r="B308" s="236"/>
      <c r="C308" s="236"/>
      <c r="D308" s="236"/>
    </row>
    <row r="309" spans="1:4" x14ac:dyDescent="0.3">
      <c r="A309" s="236" t="s">
        <v>238</v>
      </c>
      <c r="B309" s="236"/>
      <c r="C309" s="236"/>
      <c r="D309" s="236"/>
    </row>
    <row r="310" spans="1:4" x14ac:dyDescent="0.3">
      <c r="A310" s="236" t="s">
        <v>245</v>
      </c>
      <c r="B310" s="236"/>
      <c r="C310" s="236"/>
      <c r="D310" s="236"/>
    </row>
    <row r="311" spans="1:4" x14ac:dyDescent="0.3">
      <c r="A311" s="236" t="s">
        <v>115</v>
      </c>
      <c r="B311" s="236"/>
      <c r="C311" s="236"/>
      <c r="D311" s="236"/>
    </row>
    <row r="312" spans="1:4" x14ac:dyDescent="0.3">
      <c r="A312" s="236" t="s">
        <v>261</v>
      </c>
      <c r="B312" s="236"/>
      <c r="C312" s="236"/>
      <c r="D312" s="236"/>
    </row>
    <row r="313" spans="1:4" x14ac:dyDescent="0.3">
      <c r="A313" s="236" t="s">
        <v>271</v>
      </c>
      <c r="B313" s="236"/>
      <c r="C313" s="236"/>
      <c r="D313" s="236"/>
    </row>
    <row r="314" spans="1:4" x14ac:dyDescent="0.3">
      <c r="A314" s="236" t="s">
        <v>245</v>
      </c>
      <c r="B314" s="236"/>
      <c r="C314" s="236"/>
      <c r="D314" s="236"/>
    </row>
    <row r="315" spans="1:4" x14ac:dyDescent="0.3">
      <c r="A315" s="236" t="s">
        <v>288</v>
      </c>
      <c r="B315" s="236"/>
      <c r="C315" s="236"/>
      <c r="D315" s="236"/>
    </row>
    <row r="316" spans="1:4" x14ac:dyDescent="0.3">
      <c r="A316" s="236" t="s">
        <v>81</v>
      </c>
      <c r="B316" s="236"/>
      <c r="C316" s="236"/>
      <c r="D316" s="236"/>
    </row>
    <row r="317" spans="1:4" x14ac:dyDescent="0.3">
      <c r="A317" s="236" t="s">
        <v>121</v>
      </c>
      <c r="B317" s="236"/>
      <c r="C317" s="236"/>
      <c r="D317" s="236"/>
    </row>
    <row r="318" spans="1:4" x14ac:dyDescent="0.3">
      <c r="A318" s="236" t="s">
        <v>308</v>
      </c>
      <c r="B318" s="236"/>
      <c r="C318" s="236"/>
      <c r="D318" s="236"/>
    </row>
    <row r="319" spans="1:4" x14ac:dyDescent="0.3">
      <c r="A319" s="236" t="s">
        <v>103</v>
      </c>
      <c r="B319" s="236"/>
      <c r="C319" s="236"/>
      <c r="D319" s="236"/>
    </row>
    <row r="320" spans="1:4" x14ac:dyDescent="0.3">
      <c r="A320" s="236" t="s">
        <v>122</v>
      </c>
      <c r="B320" s="236"/>
      <c r="C320" s="236"/>
      <c r="D320" s="236"/>
    </row>
    <row r="321" spans="1:4" x14ac:dyDescent="0.3">
      <c r="A321" s="236" t="s">
        <v>432</v>
      </c>
      <c r="B321" s="236"/>
      <c r="C321" s="236"/>
      <c r="D321" s="236"/>
    </row>
    <row r="322" spans="1:4" x14ac:dyDescent="0.3">
      <c r="A322" s="236" t="s">
        <v>438</v>
      </c>
      <c r="B322" s="236"/>
      <c r="C322" s="236"/>
      <c r="D322" s="236"/>
    </row>
    <row r="323" spans="1:4" x14ac:dyDescent="0.3">
      <c r="A323" s="236" t="s">
        <v>99</v>
      </c>
      <c r="B323" s="236"/>
      <c r="C323" s="236"/>
      <c r="D323" s="236"/>
    </row>
    <row r="324" spans="1:4" x14ac:dyDescent="0.3">
      <c r="A324" s="236" t="s">
        <v>100</v>
      </c>
      <c r="B324" s="236"/>
      <c r="C324" s="236"/>
      <c r="D324" s="236"/>
    </row>
    <row r="325" spans="1:4" x14ac:dyDescent="0.3">
      <c r="A325" s="236" t="s">
        <v>481</v>
      </c>
      <c r="B325" s="236"/>
      <c r="C325" s="236"/>
      <c r="D325" s="236"/>
    </row>
    <row r="326" spans="1:4" x14ac:dyDescent="0.3">
      <c r="A326" s="236" t="s">
        <v>245</v>
      </c>
      <c r="B326" s="236"/>
      <c r="C326" s="236"/>
      <c r="D326" s="236"/>
    </row>
    <row r="327" spans="1:4" x14ac:dyDescent="0.3">
      <c r="A327" s="236" t="s">
        <v>594</v>
      </c>
      <c r="B327" s="236"/>
      <c r="C327" s="236"/>
      <c r="D327" s="236"/>
    </row>
    <row r="328" spans="1:4" x14ac:dyDescent="0.3">
      <c r="A328" s="236" t="s">
        <v>245</v>
      </c>
      <c r="B328" s="236"/>
      <c r="C328" s="236"/>
      <c r="D328" s="236"/>
    </row>
    <row r="329" spans="1:4" x14ac:dyDescent="0.3">
      <c r="A329" s="236" t="s">
        <v>613</v>
      </c>
      <c r="B329" s="236"/>
      <c r="C329" s="236"/>
      <c r="D329" s="236"/>
    </row>
    <row r="330" spans="1:4" x14ac:dyDescent="0.3">
      <c r="A330" s="236" t="s">
        <v>130</v>
      </c>
      <c r="B330" s="236"/>
      <c r="C330" s="236"/>
      <c r="D330" s="236"/>
    </row>
    <row r="331" spans="1:4" x14ac:dyDescent="0.3">
      <c r="A331" s="236" t="s">
        <v>132</v>
      </c>
      <c r="B331" s="236"/>
      <c r="C331" s="236"/>
      <c r="D331" s="236"/>
    </row>
    <row r="332" spans="1:4" x14ac:dyDescent="0.3">
      <c r="A332" s="236" t="s">
        <v>91</v>
      </c>
      <c r="B332" s="236"/>
      <c r="C332" s="236"/>
      <c r="D332" s="236"/>
    </row>
    <row r="333" spans="1:4" x14ac:dyDescent="0.3">
      <c r="A333" s="236" t="s">
        <v>16</v>
      </c>
      <c r="B333" s="236"/>
      <c r="C333" s="236"/>
      <c r="D333" s="236"/>
    </row>
    <row r="334" spans="1:4" x14ac:dyDescent="0.3">
      <c r="A334" s="236" t="s">
        <v>17</v>
      </c>
      <c r="B334" s="236"/>
      <c r="C334" s="236"/>
      <c r="D334" s="236"/>
    </row>
    <row r="335" spans="1:4" x14ac:dyDescent="0.3">
      <c r="A335" s="236" t="s">
        <v>83</v>
      </c>
      <c r="B335" s="236"/>
      <c r="C335" s="236"/>
      <c r="D335" s="236"/>
    </row>
    <row r="336" spans="1:4" x14ac:dyDescent="0.3">
      <c r="A336" s="236" t="s">
        <v>245</v>
      </c>
      <c r="B336" s="236"/>
      <c r="C336" s="236"/>
      <c r="D336" s="236"/>
    </row>
    <row r="337" spans="1:4" x14ac:dyDescent="0.3">
      <c r="A337" s="236" t="s">
        <v>128</v>
      </c>
      <c r="B337" s="236"/>
      <c r="C337" s="236"/>
      <c r="D337" s="236"/>
    </row>
    <row r="338" spans="1:4" x14ac:dyDescent="0.3">
      <c r="A338" s="236" t="s">
        <v>106</v>
      </c>
      <c r="B338" s="236"/>
      <c r="C338" s="236"/>
      <c r="D338" s="236"/>
    </row>
    <row r="339" spans="1:4" x14ac:dyDescent="0.3">
      <c r="A339" s="236" t="s">
        <v>129</v>
      </c>
      <c r="B339" s="236"/>
      <c r="C339" s="236"/>
      <c r="D339" s="236"/>
    </row>
    <row r="340" spans="1:4" x14ac:dyDescent="0.3">
      <c r="A340" s="236" t="s">
        <v>137</v>
      </c>
      <c r="B340" s="236"/>
      <c r="C340" s="236"/>
      <c r="D340" s="236"/>
    </row>
    <row r="341" spans="1:4" x14ac:dyDescent="0.3">
      <c r="A341" s="236" t="s">
        <v>138</v>
      </c>
      <c r="B341" s="236"/>
      <c r="C341" s="236"/>
      <c r="D341" s="236"/>
    </row>
    <row r="342" spans="1:4" x14ac:dyDescent="0.3">
      <c r="A342" s="236" t="s">
        <v>121</v>
      </c>
      <c r="B342" s="236"/>
      <c r="C342" s="236"/>
      <c r="D342" s="236"/>
    </row>
    <row r="343" spans="1:4" x14ac:dyDescent="0.3">
      <c r="A343" s="236" t="s">
        <v>138</v>
      </c>
      <c r="B343" s="236"/>
      <c r="C343" s="236"/>
      <c r="D343" s="236"/>
    </row>
    <row r="344" spans="1:4" x14ac:dyDescent="0.3">
      <c r="A344" s="236" t="s">
        <v>100</v>
      </c>
      <c r="B344" s="236"/>
      <c r="C344" s="236"/>
      <c r="D344" s="236"/>
    </row>
    <row r="345" spans="1:4" x14ac:dyDescent="0.3">
      <c r="A345" s="236" t="s">
        <v>1023</v>
      </c>
      <c r="B345" s="236"/>
      <c r="C345" s="236"/>
      <c r="D345" s="236"/>
    </row>
    <row r="346" spans="1:4" x14ac:dyDescent="0.3">
      <c r="A346" s="236" t="s">
        <v>107</v>
      </c>
      <c r="B346" s="236"/>
      <c r="C346" s="236"/>
      <c r="D346" s="236"/>
    </row>
    <row r="347" spans="1:4" x14ac:dyDescent="0.3">
      <c r="A347" s="236" t="s">
        <v>271</v>
      </c>
      <c r="B347" s="236"/>
      <c r="C347" s="236"/>
      <c r="D347" s="236"/>
    </row>
    <row r="348" spans="1:4" x14ac:dyDescent="0.3">
      <c r="A348" s="236" t="s">
        <v>108</v>
      </c>
      <c r="B348" s="236"/>
      <c r="C348" s="236"/>
      <c r="D348" s="236"/>
    </row>
    <row r="349" spans="1:4" x14ac:dyDescent="0.3">
      <c r="A349" s="236" t="s">
        <v>115</v>
      </c>
      <c r="B349" s="236"/>
      <c r="C349" s="236"/>
      <c r="D349" s="236"/>
    </row>
    <row r="350" spans="1:4" x14ac:dyDescent="0.3">
      <c r="A350" s="236" t="s">
        <v>261</v>
      </c>
      <c r="B350" s="236"/>
      <c r="C350" s="236"/>
      <c r="D350" s="236"/>
    </row>
    <row r="351" spans="1:4" x14ac:dyDescent="0.3">
      <c r="A351" s="236" t="s">
        <v>128</v>
      </c>
      <c r="B351" s="236"/>
      <c r="C351" s="236"/>
      <c r="D351" s="236"/>
    </row>
    <row r="352" spans="1:4" x14ac:dyDescent="0.3">
      <c r="A352" s="85"/>
      <c r="B352" s="85"/>
      <c r="C352" s="85"/>
      <c r="D352" s="85"/>
    </row>
  </sheetData>
  <mergeCells count="356">
    <mergeCell ref="A345:D345"/>
    <mergeCell ref="A346:D346"/>
    <mergeCell ref="A347:D347"/>
    <mergeCell ref="A348:D348"/>
    <mergeCell ref="A349:D349"/>
    <mergeCell ref="A350:D350"/>
    <mergeCell ref="A351:D351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C296:D296"/>
    <mergeCell ref="C297:D297"/>
    <mergeCell ref="C298:D298"/>
    <mergeCell ref="C299:D299"/>
    <mergeCell ref="C300:D300"/>
    <mergeCell ref="C301:D301"/>
    <mergeCell ref="A335:D335"/>
    <mergeCell ref="A303:D303"/>
    <mergeCell ref="A304:D304"/>
    <mergeCell ref="A306:C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L6:L7"/>
    <mergeCell ref="M6:M7"/>
    <mergeCell ref="N6:N7"/>
    <mergeCell ref="O6:O7"/>
    <mergeCell ref="A6:A7"/>
    <mergeCell ref="B6:B7"/>
    <mergeCell ref="C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O49"/>
  <sheetViews>
    <sheetView topLeftCell="B1" zoomScale="70" zoomScaleNormal="70" workbookViewId="0">
      <selection activeCell="P50" sqref="P50"/>
    </sheetView>
  </sheetViews>
  <sheetFormatPr defaultRowHeight="14.4" x14ac:dyDescent="0.3"/>
  <cols>
    <col min="1" max="1" width="9.109375" hidden="1" customWidth="1"/>
    <col min="2" max="2" width="4.6640625" customWidth="1"/>
    <col min="3" max="3" width="15.88671875" customWidth="1"/>
    <col min="40" max="41" width="14.88671875" customWidth="1"/>
  </cols>
  <sheetData>
    <row r="2" spans="3:41" x14ac:dyDescent="0.3">
      <c r="AI2" s="263" t="s">
        <v>164</v>
      </c>
      <c r="AJ2" s="263"/>
      <c r="AK2" s="263"/>
      <c r="AL2" s="263"/>
      <c r="AM2" s="263"/>
      <c r="AN2" s="263" t="s">
        <v>39</v>
      </c>
      <c r="AO2" s="263"/>
    </row>
    <row r="3" spans="3:41" ht="15" customHeight="1" x14ac:dyDescent="0.3">
      <c r="C3" s="268" t="s">
        <v>47</v>
      </c>
      <c r="D3" s="271" t="s">
        <v>143</v>
      </c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3"/>
      <c r="AI3" s="277" t="s">
        <v>144</v>
      </c>
      <c r="AJ3" s="240"/>
      <c r="AK3" s="279" t="s">
        <v>145</v>
      </c>
      <c r="AL3" s="280"/>
      <c r="AM3" s="281"/>
      <c r="AN3" s="277" t="s">
        <v>144</v>
      </c>
      <c r="AO3" s="240"/>
    </row>
    <row r="4" spans="3:41" ht="15" customHeight="1" x14ac:dyDescent="0.3">
      <c r="C4" s="269"/>
      <c r="D4" s="274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6"/>
      <c r="AI4" s="278"/>
      <c r="AJ4" s="242"/>
      <c r="AK4" s="264" t="s">
        <v>146</v>
      </c>
      <c r="AL4" s="265"/>
      <c r="AM4" s="266" t="s">
        <v>147</v>
      </c>
      <c r="AN4" s="278"/>
      <c r="AO4" s="242"/>
    </row>
    <row r="5" spans="3:41" x14ac:dyDescent="0.3">
      <c r="C5" s="270"/>
      <c r="D5" s="76">
        <v>1</v>
      </c>
      <c r="E5" s="77">
        <v>2</v>
      </c>
      <c r="F5" s="77">
        <v>3</v>
      </c>
      <c r="G5" s="77">
        <v>4</v>
      </c>
      <c r="H5" s="77">
        <v>5</v>
      </c>
      <c r="I5" s="77">
        <v>6</v>
      </c>
      <c r="J5" s="77">
        <v>7</v>
      </c>
      <c r="K5" s="77">
        <v>8</v>
      </c>
      <c r="L5" s="77">
        <v>9</v>
      </c>
      <c r="M5" s="77">
        <v>10</v>
      </c>
      <c r="N5" s="77">
        <v>11</v>
      </c>
      <c r="O5" s="77">
        <v>12</v>
      </c>
      <c r="P5" s="77">
        <v>13</v>
      </c>
      <c r="Q5" s="77">
        <v>14</v>
      </c>
      <c r="R5" s="77">
        <v>15</v>
      </c>
      <c r="S5" s="77">
        <v>16</v>
      </c>
      <c r="T5" s="77">
        <v>17</v>
      </c>
      <c r="U5" s="77">
        <v>18</v>
      </c>
      <c r="V5" s="77">
        <v>19</v>
      </c>
      <c r="W5" s="77">
        <v>20</v>
      </c>
      <c r="X5" s="77">
        <v>21</v>
      </c>
      <c r="Y5" s="77">
        <v>22</v>
      </c>
      <c r="Z5" s="77">
        <v>23</v>
      </c>
      <c r="AA5" s="77">
        <v>24</v>
      </c>
      <c r="AB5" s="77">
        <v>25</v>
      </c>
      <c r="AC5" s="77">
        <v>26</v>
      </c>
      <c r="AD5" s="77">
        <v>27</v>
      </c>
      <c r="AE5" s="77">
        <v>28</v>
      </c>
      <c r="AF5" s="77">
        <v>29</v>
      </c>
      <c r="AG5" s="77">
        <v>30</v>
      </c>
      <c r="AH5" s="77">
        <v>31</v>
      </c>
      <c r="AI5" s="2" t="s">
        <v>156</v>
      </c>
      <c r="AJ5" s="2" t="s">
        <v>157</v>
      </c>
      <c r="AK5" s="2" t="s">
        <v>156</v>
      </c>
      <c r="AL5" s="2" t="s">
        <v>157</v>
      </c>
      <c r="AM5" s="267"/>
      <c r="AN5" s="2" t="s">
        <v>156</v>
      </c>
      <c r="AO5" s="2" t="s">
        <v>157</v>
      </c>
    </row>
    <row r="6" spans="3:41" x14ac:dyDescent="0.3">
      <c r="C6" s="3" t="s">
        <v>19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>
        <v>8</v>
      </c>
      <c r="P6" s="78">
        <v>8</v>
      </c>
      <c r="Q6" s="78">
        <v>8</v>
      </c>
      <c r="R6" s="78">
        <v>8</v>
      </c>
      <c r="S6" s="78">
        <v>8</v>
      </c>
      <c r="T6" s="78"/>
      <c r="U6" s="78"/>
      <c r="V6" s="78">
        <v>8</v>
      </c>
      <c r="W6" s="78">
        <v>8</v>
      </c>
      <c r="X6" s="78">
        <v>8</v>
      </c>
      <c r="Y6" s="78">
        <v>8</v>
      </c>
      <c r="Z6" s="78">
        <v>8</v>
      </c>
      <c r="AA6" s="78"/>
      <c r="AB6" s="78"/>
      <c r="AC6" s="78">
        <v>8</v>
      </c>
      <c r="AD6" s="78">
        <v>8</v>
      </c>
      <c r="AE6" s="78">
        <v>8</v>
      </c>
      <c r="AF6" s="78">
        <v>8</v>
      </c>
      <c r="AG6" s="78">
        <v>8</v>
      </c>
      <c r="AH6" s="78"/>
      <c r="AI6" s="3">
        <v>17</v>
      </c>
      <c r="AJ6" s="3">
        <v>136</v>
      </c>
      <c r="AK6" s="4">
        <v>17</v>
      </c>
      <c r="AL6" s="4">
        <v>136</v>
      </c>
      <c r="AM6" s="4">
        <v>14</v>
      </c>
      <c r="AN6" s="4">
        <f>COUNT(D6:R6)</f>
        <v>4</v>
      </c>
      <c r="AO6" s="4">
        <f>SUM(D6:R6)</f>
        <v>32</v>
      </c>
    </row>
    <row r="7" spans="3:41" x14ac:dyDescent="0.3">
      <c r="C7" s="3" t="s">
        <v>20</v>
      </c>
      <c r="D7" s="78"/>
      <c r="E7" s="78">
        <v>8</v>
      </c>
      <c r="F7" s="78">
        <v>8</v>
      </c>
      <c r="G7" s="78">
        <v>8</v>
      </c>
      <c r="H7" s="78">
        <v>8</v>
      </c>
      <c r="I7" s="78">
        <v>8</v>
      </c>
      <c r="J7" s="78"/>
      <c r="K7" s="78"/>
      <c r="L7" s="78">
        <v>8</v>
      </c>
      <c r="M7" s="78">
        <v>8</v>
      </c>
      <c r="N7" s="78">
        <v>8</v>
      </c>
      <c r="O7" s="78">
        <v>8</v>
      </c>
      <c r="P7" s="78">
        <v>8</v>
      </c>
      <c r="Q7" s="78"/>
      <c r="R7" s="78"/>
      <c r="S7" s="78">
        <v>8</v>
      </c>
      <c r="T7" s="78">
        <v>8</v>
      </c>
      <c r="U7" s="78">
        <v>8</v>
      </c>
      <c r="V7" s="78">
        <v>8</v>
      </c>
      <c r="W7" s="78">
        <v>8</v>
      </c>
      <c r="X7" s="78"/>
      <c r="Y7" s="78"/>
      <c r="Z7" s="78"/>
      <c r="AA7" s="78">
        <v>8</v>
      </c>
      <c r="AB7" s="78">
        <v>8</v>
      </c>
      <c r="AC7" s="78">
        <v>8</v>
      </c>
      <c r="AD7" s="78">
        <v>8</v>
      </c>
      <c r="AE7" s="78"/>
      <c r="AF7" s="78" t="s">
        <v>11</v>
      </c>
      <c r="AG7" s="78" t="s">
        <v>11</v>
      </c>
      <c r="AH7" s="78" t="s">
        <v>11</v>
      </c>
      <c r="AI7" s="3">
        <v>20</v>
      </c>
      <c r="AJ7" s="3">
        <v>160</v>
      </c>
      <c r="AK7" s="4">
        <v>20</v>
      </c>
      <c r="AL7" s="4">
        <v>160</v>
      </c>
      <c r="AM7" s="4">
        <v>8</v>
      </c>
      <c r="AN7" s="4">
        <f t="shared" ref="AN7:AN20" si="0">COUNT(D7:R7)</f>
        <v>10</v>
      </c>
      <c r="AO7" s="4">
        <f>SUM(D7:R7)</f>
        <v>80</v>
      </c>
    </row>
    <row r="8" spans="3:41" x14ac:dyDescent="0.3">
      <c r="C8" s="3" t="s">
        <v>21</v>
      </c>
      <c r="D8" s="78"/>
      <c r="E8" s="78">
        <v>8</v>
      </c>
      <c r="F8" s="78">
        <v>8</v>
      </c>
      <c r="G8" s="78">
        <v>8</v>
      </c>
      <c r="H8" s="78">
        <v>8</v>
      </c>
      <c r="I8" s="78">
        <v>8</v>
      </c>
      <c r="J8" s="78"/>
      <c r="K8" s="78"/>
      <c r="L8" s="78"/>
      <c r="M8" s="78">
        <v>8</v>
      </c>
      <c r="N8" s="78">
        <v>8</v>
      </c>
      <c r="O8" s="78">
        <v>8</v>
      </c>
      <c r="P8" s="78">
        <v>8</v>
      </c>
      <c r="Q8" s="78"/>
      <c r="R8" s="78"/>
      <c r="S8" s="78">
        <v>8</v>
      </c>
      <c r="T8" s="78">
        <v>8</v>
      </c>
      <c r="U8" s="78">
        <v>8</v>
      </c>
      <c r="V8" s="78">
        <v>7</v>
      </c>
      <c r="W8" s="78"/>
      <c r="X8" s="78"/>
      <c r="Y8" s="78"/>
      <c r="Z8" s="78">
        <v>8</v>
      </c>
      <c r="AA8" s="78">
        <v>8</v>
      </c>
      <c r="AB8" s="78">
        <v>8</v>
      </c>
      <c r="AC8" s="78">
        <v>8</v>
      </c>
      <c r="AD8" s="78">
        <v>8</v>
      </c>
      <c r="AE8" s="78"/>
      <c r="AF8" s="78"/>
      <c r="AG8" s="78">
        <v>8</v>
      </c>
      <c r="AH8" s="78">
        <v>8</v>
      </c>
      <c r="AI8" s="3">
        <v>21</v>
      </c>
      <c r="AJ8" s="3">
        <v>167</v>
      </c>
      <c r="AK8" s="4">
        <v>21</v>
      </c>
      <c r="AL8" s="4">
        <v>167</v>
      </c>
      <c r="AM8" s="4">
        <v>10</v>
      </c>
      <c r="AN8" s="4">
        <f t="shared" si="0"/>
        <v>9</v>
      </c>
      <c r="AO8" s="4">
        <f t="shared" ref="AO8:AO20" si="1">SUM(D8:R8)</f>
        <v>72</v>
      </c>
    </row>
    <row r="9" spans="3:41" x14ac:dyDescent="0.3">
      <c r="C9" s="5" t="s">
        <v>18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80"/>
      <c r="AI9" s="8">
        <v>58</v>
      </c>
      <c r="AJ9" s="9">
        <v>463</v>
      </c>
      <c r="AK9" s="8">
        <v>58</v>
      </c>
      <c r="AL9" s="9">
        <v>463</v>
      </c>
      <c r="AM9" s="9">
        <v>32</v>
      </c>
      <c r="AN9" s="9">
        <f>SUM(AN6:AN8)</f>
        <v>23</v>
      </c>
      <c r="AO9" s="9">
        <f>SUM(AO6:AO8)</f>
        <v>184</v>
      </c>
    </row>
    <row r="10" spans="3:41" x14ac:dyDescent="0.3">
      <c r="C10" s="3" t="s">
        <v>23</v>
      </c>
      <c r="D10" s="78">
        <v>8</v>
      </c>
      <c r="E10" s="78">
        <v>8</v>
      </c>
      <c r="F10" s="78">
        <v>8</v>
      </c>
      <c r="G10" s="78"/>
      <c r="H10" s="78"/>
      <c r="I10" s="78">
        <v>8</v>
      </c>
      <c r="J10" s="78">
        <v>8</v>
      </c>
      <c r="K10" s="78">
        <v>8</v>
      </c>
      <c r="L10" s="78">
        <v>8</v>
      </c>
      <c r="M10" s="78">
        <v>8</v>
      </c>
      <c r="N10" s="78"/>
      <c r="O10" s="78"/>
      <c r="P10" s="78">
        <v>8</v>
      </c>
      <c r="Q10" s="78">
        <v>8</v>
      </c>
      <c r="R10" s="78">
        <v>8</v>
      </c>
      <c r="S10" s="78">
        <v>8</v>
      </c>
      <c r="T10" s="78">
        <v>8</v>
      </c>
      <c r="U10" s="78"/>
      <c r="V10" s="78"/>
      <c r="W10" s="78">
        <v>8</v>
      </c>
      <c r="X10" s="78">
        <v>8</v>
      </c>
      <c r="Y10" s="78">
        <v>8</v>
      </c>
      <c r="Z10" s="78">
        <v>8</v>
      </c>
      <c r="AA10" s="78">
        <v>8</v>
      </c>
      <c r="AB10" s="78"/>
      <c r="AC10" s="78"/>
      <c r="AD10" s="78">
        <v>8</v>
      </c>
      <c r="AE10" s="78">
        <v>7</v>
      </c>
      <c r="AF10" s="78"/>
      <c r="AG10" s="78">
        <v>7</v>
      </c>
      <c r="AH10" s="78" t="s">
        <v>11</v>
      </c>
      <c r="AI10" s="3">
        <v>21</v>
      </c>
      <c r="AJ10" s="3">
        <v>166</v>
      </c>
      <c r="AK10" s="4">
        <v>21</v>
      </c>
      <c r="AL10" s="4">
        <v>166</v>
      </c>
      <c r="AM10" s="4">
        <v>9</v>
      </c>
      <c r="AN10" s="4">
        <f t="shared" si="0"/>
        <v>11</v>
      </c>
      <c r="AO10" s="4">
        <f t="shared" si="1"/>
        <v>88</v>
      </c>
    </row>
    <row r="11" spans="3:41" x14ac:dyDescent="0.3">
      <c r="C11" s="3" t="s">
        <v>24</v>
      </c>
      <c r="D11" s="78"/>
      <c r="E11" s="78"/>
      <c r="F11" s="78"/>
      <c r="G11" s="78">
        <v>8</v>
      </c>
      <c r="H11" s="78">
        <v>8</v>
      </c>
      <c r="I11" s="78">
        <v>8</v>
      </c>
      <c r="J11" s="78">
        <v>8</v>
      </c>
      <c r="K11" s="78">
        <v>7</v>
      </c>
      <c r="L11" s="78"/>
      <c r="M11" s="78"/>
      <c r="N11" s="78"/>
      <c r="O11" s="78">
        <v>8</v>
      </c>
      <c r="P11" s="78">
        <v>8</v>
      </c>
      <c r="Q11" s="78">
        <v>8</v>
      </c>
      <c r="R11" s="78">
        <v>8</v>
      </c>
      <c r="S11" s="78"/>
      <c r="T11" s="78"/>
      <c r="U11" s="78">
        <v>8</v>
      </c>
      <c r="V11" s="78">
        <v>8</v>
      </c>
      <c r="W11" s="78">
        <v>8</v>
      </c>
      <c r="X11" s="78">
        <v>8</v>
      </c>
      <c r="Y11" s="78">
        <v>8</v>
      </c>
      <c r="Z11" s="78"/>
      <c r="AA11" s="78"/>
      <c r="AB11" s="78">
        <v>8</v>
      </c>
      <c r="AC11" s="78">
        <v>7</v>
      </c>
      <c r="AD11" s="78"/>
      <c r="AE11" s="78">
        <v>8</v>
      </c>
      <c r="AF11" s="78">
        <v>8</v>
      </c>
      <c r="AG11" s="78"/>
      <c r="AH11" s="78"/>
      <c r="AI11" s="3">
        <v>18</v>
      </c>
      <c r="AJ11" s="3">
        <v>144</v>
      </c>
      <c r="AK11" s="4">
        <v>18</v>
      </c>
      <c r="AL11" s="4">
        <v>144</v>
      </c>
      <c r="AM11" s="4">
        <v>13</v>
      </c>
      <c r="AN11" s="4">
        <f t="shared" si="0"/>
        <v>9</v>
      </c>
      <c r="AO11" s="4">
        <f t="shared" si="1"/>
        <v>71</v>
      </c>
    </row>
    <row r="12" spans="3:41" x14ac:dyDescent="0.3">
      <c r="C12" s="3" t="s">
        <v>25</v>
      </c>
      <c r="D12" s="78">
        <v>8</v>
      </c>
      <c r="E12" s="78">
        <v>8</v>
      </c>
      <c r="F12" s="78">
        <v>8</v>
      </c>
      <c r="G12" s="78">
        <v>8</v>
      </c>
      <c r="H12" s="78">
        <v>8</v>
      </c>
      <c r="I12" s="78"/>
      <c r="J12" s="78"/>
      <c r="K12" s="78">
        <v>8</v>
      </c>
      <c r="L12" s="78">
        <v>8</v>
      </c>
      <c r="M12" s="78">
        <v>8</v>
      </c>
      <c r="N12" s="78">
        <v>7</v>
      </c>
      <c r="O12" s="78"/>
      <c r="P12" s="78"/>
      <c r="Q12" s="78"/>
      <c r="R12" s="78">
        <v>8</v>
      </c>
      <c r="S12" s="78">
        <v>8</v>
      </c>
      <c r="T12" s="78">
        <v>8</v>
      </c>
      <c r="U12" s="78">
        <v>8</v>
      </c>
      <c r="V12" s="78">
        <v>8</v>
      </c>
      <c r="W12" s="78"/>
      <c r="X12" s="78"/>
      <c r="Y12" s="78">
        <v>8</v>
      </c>
      <c r="Z12" s="78">
        <v>8</v>
      </c>
      <c r="AA12" s="78">
        <v>8</v>
      </c>
      <c r="AB12" s="78">
        <v>8</v>
      </c>
      <c r="AC12" s="78">
        <v>8</v>
      </c>
      <c r="AD12" s="78"/>
      <c r="AE12" s="78"/>
      <c r="AF12" s="78">
        <v>8</v>
      </c>
      <c r="AG12" s="78">
        <v>8</v>
      </c>
      <c r="AH12" s="78" t="s">
        <v>11</v>
      </c>
      <c r="AI12" s="3">
        <v>19</v>
      </c>
      <c r="AJ12" s="3">
        <v>151</v>
      </c>
      <c r="AK12" s="4">
        <v>19</v>
      </c>
      <c r="AL12" s="4">
        <v>151</v>
      </c>
      <c r="AM12" s="4">
        <v>11</v>
      </c>
      <c r="AN12" s="4">
        <f t="shared" si="0"/>
        <v>10</v>
      </c>
      <c r="AO12" s="4">
        <f t="shared" si="1"/>
        <v>79</v>
      </c>
    </row>
    <row r="13" spans="3:41" x14ac:dyDescent="0.3">
      <c r="C13" s="5" t="s">
        <v>22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">
        <v>58</v>
      </c>
      <c r="AJ13" s="9">
        <v>461</v>
      </c>
      <c r="AK13" s="8">
        <v>58</v>
      </c>
      <c r="AL13" s="9">
        <v>461</v>
      </c>
      <c r="AM13" s="9">
        <v>33</v>
      </c>
      <c r="AN13" s="9">
        <f>SUM(AN10:AN12)</f>
        <v>30</v>
      </c>
      <c r="AO13" s="9">
        <f>SUM(AO10:AO12)</f>
        <v>238</v>
      </c>
    </row>
    <row r="14" spans="3:41" x14ac:dyDescent="0.3">
      <c r="C14" s="3" t="s">
        <v>27</v>
      </c>
      <c r="D14" s="78">
        <v>8</v>
      </c>
      <c r="E14" s="78">
        <v>8</v>
      </c>
      <c r="F14" s="78">
        <v>8</v>
      </c>
      <c r="G14" s="78"/>
      <c r="H14" s="78"/>
      <c r="I14" s="78">
        <v>8</v>
      </c>
      <c r="J14" s="78">
        <v>8</v>
      </c>
      <c r="K14" s="78">
        <v>8</v>
      </c>
      <c r="L14" s="78">
        <v>8</v>
      </c>
      <c r="M14" s="78">
        <v>8</v>
      </c>
      <c r="N14" s="78"/>
      <c r="O14" s="78"/>
      <c r="P14" s="78">
        <v>8</v>
      </c>
      <c r="Q14" s="78">
        <v>8</v>
      </c>
      <c r="R14" s="78">
        <v>8</v>
      </c>
      <c r="S14" s="78">
        <v>8</v>
      </c>
      <c r="T14" s="78">
        <v>8</v>
      </c>
      <c r="U14" s="78"/>
      <c r="V14" s="78"/>
      <c r="W14" s="78">
        <v>8</v>
      </c>
      <c r="X14" s="78">
        <v>8</v>
      </c>
      <c r="Y14" s="78">
        <v>8</v>
      </c>
      <c r="Z14" s="78">
        <v>8</v>
      </c>
      <c r="AA14" s="78">
        <v>8</v>
      </c>
      <c r="AB14" s="78"/>
      <c r="AC14" s="78"/>
      <c r="AD14" s="78"/>
      <c r="AE14" s="78">
        <v>8</v>
      </c>
      <c r="AF14" s="78">
        <v>8</v>
      </c>
      <c r="AG14" s="78">
        <v>8</v>
      </c>
      <c r="AH14" s="78">
        <v>8</v>
      </c>
      <c r="AI14" s="3">
        <v>23</v>
      </c>
      <c r="AJ14" s="3">
        <v>184</v>
      </c>
      <c r="AK14" s="4">
        <v>23</v>
      </c>
      <c r="AL14" s="4">
        <v>184</v>
      </c>
      <c r="AM14" s="4">
        <v>8</v>
      </c>
      <c r="AN14" s="4">
        <f t="shared" si="0"/>
        <v>11</v>
      </c>
      <c r="AO14" s="4">
        <f t="shared" si="1"/>
        <v>88</v>
      </c>
    </row>
    <row r="15" spans="3:41" x14ac:dyDescent="0.3">
      <c r="C15" s="3" t="s">
        <v>28</v>
      </c>
      <c r="D15" s="78"/>
      <c r="E15" s="78"/>
      <c r="F15" s="78">
        <v>8</v>
      </c>
      <c r="G15" s="78">
        <v>8</v>
      </c>
      <c r="H15" s="78">
        <v>8</v>
      </c>
      <c r="I15" s="78">
        <v>8</v>
      </c>
      <c r="J15" s="78">
        <v>8</v>
      </c>
      <c r="K15" s="78"/>
      <c r="L15" s="78"/>
      <c r="M15" s="78">
        <v>8</v>
      </c>
      <c r="N15" s="78">
        <v>8</v>
      </c>
      <c r="O15" s="78">
        <v>8</v>
      </c>
      <c r="P15" s="78">
        <v>8</v>
      </c>
      <c r="Q15" s="78">
        <v>8</v>
      </c>
      <c r="R15" s="78"/>
      <c r="S15" s="78"/>
      <c r="T15" s="78">
        <v>8</v>
      </c>
      <c r="U15" s="78">
        <v>8</v>
      </c>
      <c r="V15" s="78">
        <v>8</v>
      </c>
      <c r="W15" s="78">
        <v>8</v>
      </c>
      <c r="X15" s="78">
        <v>8</v>
      </c>
      <c r="Y15" s="78"/>
      <c r="Z15" s="78"/>
      <c r="AA15" s="78">
        <v>8</v>
      </c>
      <c r="AB15" s="78">
        <v>8</v>
      </c>
      <c r="AC15" s="78">
        <v>8</v>
      </c>
      <c r="AD15" s="78">
        <v>8</v>
      </c>
      <c r="AE15" s="78">
        <v>8</v>
      </c>
      <c r="AF15" s="78"/>
      <c r="AG15" s="78"/>
      <c r="AH15" s="78">
        <v>8</v>
      </c>
      <c r="AI15" s="3">
        <v>21</v>
      </c>
      <c r="AJ15" s="3">
        <v>168</v>
      </c>
      <c r="AK15" s="4">
        <v>21</v>
      </c>
      <c r="AL15" s="4">
        <v>168</v>
      </c>
      <c r="AM15" s="4">
        <v>10</v>
      </c>
      <c r="AN15" s="4">
        <f t="shared" si="0"/>
        <v>10</v>
      </c>
      <c r="AO15" s="4">
        <f t="shared" si="1"/>
        <v>80</v>
      </c>
    </row>
    <row r="16" spans="3:41" x14ac:dyDescent="0.3">
      <c r="C16" s="3" t="s">
        <v>29</v>
      </c>
      <c r="D16" s="78">
        <v>8</v>
      </c>
      <c r="E16" s="78">
        <v>8</v>
      </c>
      <c r="F16" s="78">
        <v>8</v>
      </c>
      <c r="G16" s="78">
        <v>8</v>
      </c>
      <c r="H16" s="78"/>
      <c r="I16" s="78"/>
      <c r="J16" s="78">
        <v>8</v>
      </c>
      <c r="K16" s="78">
        <v>8</v>
      </c>
      <c r="L16" s="78">
        <v>8</v>
      </c>
      <c r="M16" s="78">
        <v>8</v>
      </c>
      <c r="N16" s="78">
        <v>8</v>
      </c>
      <c r="O16" s="78"/>
      <c r="P16" s="78"/>
      <c r="Q16" s="78">
        <v>7</v>
      </c>
      <c r="R16" s="78"/>
      <c r="S16" s="78">
        <v>8</v>
      </c>
      <c r="T16" s="78">
        <v>8</v>
      </c>
      <c r="U16" s="78">
        <v>8</v>
      </c>
      <c r="V16" s="78"/>
      <c r="W16" s="78"/>
      <c r="X16" s="78">
        <v>8</v>
      </c>
      <c r="Y16" s="78">
        <v>8</v>
      </c>
      <c r="Z16" s="78">
        <v>8</v>
      </c>
      <c r="AA16" s="78">
        <v>8</v>
      </c>
      <c r="AB16" s="78">
        <v>8</v>
      </c>
      <c r="AC16" s="78"/>
      <c r="AD16" s="78"/>
      <c r="AE16" s="78">
        <v>8</v>
      </c>
      <c r="AF16" s="78">
        <v>8</v>
      </c>
      <c r="AG16" s="78">
        <v>8</v>
      </c>
      <c r="AH16" s="78" t="s">
        <v>11</v>
      </c>
      <c r="AI16" s="3">
        <v>22</v>
      </c>
      <c r="AJ16" s="3">
        <v>176</v>
      </c>
      <c r="AK16" s="4">
        <v>22</v>
      </c>
      <c r="AL16" s="4">
        <v>176</v>
      </c>
      <c r="AM16" s="4">
        <v>8</v>
      </c>
      <c r="AN16" s="4">
        <f t="shared" si="0"/>
        <v>10</v>
      </c>
      <c r="AO16" s="4">
        <f t="shared" si="1"/>
        <v>79</v>
      </c>
    </row>
    <row r="17" spans="3:41" x14ac:dyDescent="0.3">
      <c r="C17" s="5" t="s">
        <v>26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">
        <v>66</v>
      </c>
      <c r="AJ17" s="9">
        <v>528</v>
      </c>
      <c r="AK17" s="8">
        <v>66</v>
      </c>
      <c r="AL17" s="9">
        <v>528</v>
      </c>
      <c r="AM17" s="9">
        <v>26</v>
      </c>
      <c r="AN17" s="9">
        <f>SUM(AN14:AN16)</f>
        <v>31</v>
      </c>
      <c r="AO17" s="9">
        <f>SUM(AO14:AO16)</f>
        <v>247</v>
      </c>
    </row>
    <row r="18" spans="3:41" x14ac:dyDescent="0.3">
      <c r="C18" s="3" t="s">
        <v>31</v>
      </c>
      <c r="D18" s="78">
        <v>8</v>
      </c>
      <c r="E18" s="78">
        <v>8</v>
      </c>
      <c r="F18" s="78"/>
      <c r="G18" s="78"/>
      <c r="H18" s="78">
        <v>8</v>
      </c>
      <c r="I18" s="78">
        <v>8</v>
      </c>
      <c r="J18" s="78">
        <v>8</v>
      </c>
      <c r="K18" s="78">
        <v>8</v>
      </c>
      <c r="L18" s="78">
        <v>8</v>
      </c>
      <c r="M18" s="78"/>
      <c r="N18" s="78"/>
      <c r="O18" s="78">
        <v>8</v>
      </c>
      <c r="P18" s="78">
        <v>8</v>
      </c>
      <c r="Q18" s="78">
        <v>8</v>
      </c>
      <c r="R18" s="78">
        <v>8</v>
      </c>
      <c r="S18" s="78">
        <v>8</v>
      </c>
      <c r="T18" s="78"/>
      <c r="U18" s="78"/>
      <c r="V18" s="78">
        <v>8</v>
      </c>
      <c r="W18" s="78">
        <v>8</v>
      </c>
      <c r="X18" s="78">
        <v>8</v>
      </c>
      <c r="Y18" s="78">
        <v>8</v>
      </c>
      <c r="Z18" s="78">
        <v>8</v>
      </c>
      <c r="AA18" s="78"/>
      <c r="AB18" s="78"/>
      <c r="AC18" s="78">
        <v>8</v>
      </c>
      <c r="AD18" s="78">
        <v>8</v>
      </c>
      <c r="AE18" s="78">
        <v>8</v>
      </c>
      <c r="AF18" s="78">
        <v>8</v>
      </c>
      <c r="AG18" s="78">
        <v>8</v>
      </c>
      <c r="AH18" s="78"/>
      <c r="AI18" s="3">
        <v>23</v>
      </c>
      <c r="AJ18" s="3">
        <v>184</v>
      </c>
      <c r="AK18" s="4">
        <v>23</v>
      </c>
      <c r="AL18" s="4">
        <v>184</v>
      </c>
      <c r="AM18" s="4">
        <v>8</v>
      </c>
      <c r="AN18" s="4">
        <f t="shared" si="0"/>
        <v>11</v>
      </c>
      <c r="AO18" s="4">
        <f t="shared" si="1"/>
        <v>88</v>
      </c>
    </row>
    <row r="19" spans="3:41" x14ac:dyDescent="0.3">
      <c r="C19" s="3" t="s">
        <v>32</v>
      </c>
      <c r="D19" s="78"/>
      <c r="E19" s="78">
        <v>8</v>
      </c>
      <c r="F19" s="78">
        <v>7</v>
      </c>
      <c r="G19" s="78"/>
      <c r="H19" s="78">
        <v>8</v>
      </c>
      <c r="I19" s="78">
        <v>8</v>
      </c>
      <c r="J19" s="78"/>
      <c r="K19" s="78"/>
      <c r="L19" s="78">
        <v>8</v>
      </c>
      <c r="M19" s="78">
        <v>8</v>
      </c>
      <c r="N19" s="78">
        <v>8</v>
      </c>
      <c r="O19" s="78">
        <v>8</v>
      </c>
      <c r="P19" s="78">
        <v>8</v>
      </c>
      <c r="Q19" s="78"/>
      <c r="R19" s="78"/>
      <c r="S19" s="78">
        <v>8</v>
      </c>
      <c r="T19" s="78">
        <v>8</v>
      </c>
      <c r="U19" s="78">
        <v>8</v>
      </c>
      <c r="V19" s="78">
        <v>8</v>
      </c>
      <c r="W19" s="78">
        <v>8</v>
      </c>
      <c r="X19" s="78"/>
      <c r="Y19" s="78"/>
      <c r="Z19" s="78">
        <v>8</v>
      </c>
      <c r="AA19" s="78">
        <v>8</v>
      </c>
      <c r="AB19" s="78">
        <v>8</v>
      </c>
      <c r="AC19" s="78">
        <v>8</v>
      </c>
      <c r="AD19" s="78">
        <v>8</v>
      </c>
      <c r="AE19" s="78"/>
      <c r="AF19" s="78"/>
      <c r="AG19" s="78">
        <v>8</v>
      </c>
      <c r="AH19" s="78" t="s">
        <v>11</v>
      </c>
      <c r="AI19" s="3">
        <v>19</v>
      </c>
      <c r="AJ19" s="3">
        <v>151</v>
      </c>
      <c r="AK19" s="4">
        <v>19</v>
      </c>
      <c r="AL19" s="4">
        <v>151</v>
      </c>
      <c r="AM19" s="4">
        <v>11</v>
      </c>
      <c r="AN19" s="4">
        <f t="shared" si="0"/>
        <v>9</v>
      </c>
      <c r="AO19" s="4">
        <f t="shared" si="1"/>
        <v>71</v>
      </c>
    </row>
    <row r="20" spans="3:41" x14ac:dyDescent="0.3">
      <c r="C20" s="3" t="s">
        <v>33</v>
      </c>
      <c r="D20" s="78">
        <v>8</v>
      </c>
      <c r="E20" s="78">
        <v>8</v>
      </c>
      <c r="F20" s="78">
        <v>8</v>
      </c>
      <c r="G20" s="78">
        <v>8</v>
      </c>
      <c r="H20" s="78"/>
      <c r="I20" s="78"/>
      <c r="J20" s="78">
        <v>8</v>
      </c>
      <c r="K20" s="78">
        <v>8</v>
      </c>
      <c r="L20" s="78">
        <v>8</v>
      </c>
      <c r="M20" s="78">
        <v>8</v>
      </c>
      <c r="N20" s="78">
        <v>8</v>
      </c>
      <c r="O20" s="78"/>
      <c r="P20" s="78"/>
      <c r="Q20" s="78">
        <v>8</v>
      </c>
      <c r="R20" s="78">
        <v>8</v>
      </c>
      <c r="S20" s="78">
        <v>8</v>
      </c>
      <c r="T20" s="78">
        <v>8</v>
      </c>
      <c r="U20" s="78">
        <v>8</v>
      </c>
      <c r="V20" s="78"/>
      <c r="W20" s="78"/>
      <c r="X20" s="78">
        <v>8</v>
      </c>
      <c r="Y20" s="78">
        <v>8</v>
      </c>
      <c r="Z20" s="78">
        <v>8</v>
      </c>
      <c r="AA20" s="78">
        <v>8</v>
      </c>
      <c r="AB20" s="78">
        <v>8</v>
      </c>
      <c r="AC20" s="78"/>
      <c r="AD20" s="78"/>
      <c r="AE20" s="78">
        <v>8</v>
      </c>
      <c r="AF20" s="78">
        <v>8</v>
      </c>
      <c r="AG20" s="78">
        <v>8</v>
      </c>
      <c r="AH20" s="78"/>
      <c r="AI20" s="3">
        <v>22</v>
      </c>
      <c r="AJ20" s="3">
        <v>176</v>
      </c>
      <c r="AK20" s="4">
        <v>22</v>
      </c>
      <c r="AL20" s="4">
        <v>176</v>
      </c>
      <c r="AM20" s="4">
        <v>9</v>
      </c>
      <c r="AN20" s="4">
        <f t="shared" si="0"/>
        <v>11</v>
      </c>
      <c r="AO20" s="4">
        <f t="shared" si="1"/>
        <v>88</v>
      </c>
    </row>
    <row r="21" spans="3:41" x14ac:dyDescent="0.3">
      <c r="C21" s="5" t="s">
        <v>30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8">
        <v>64</v>
      </c>
      <c r="AJ21" s="9">
        <v>511</v>
      </c>
      <c r="AK21" s="8">
        <v>64</v>
      </c>
      <c r="AL21" s="9">
        <v>511</v>
      </c>
      <c r="AM21" s="9">
        <v>28</v>
      </c>
      <c r="AN21" s="14">
        <f>SUM(AN18:AN20)</f>
        <v>31</v>
      </c>
      <c r="AO21" s="13">
        <f>SUM(AO18:AO20)</f>
        <v>247</v>
      </c>
    </row>
    <row r="22" spans="3:41" x14ac:dyDescent="0.3">
      <c r="C22" s="10" t="s">
        <v>160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2"/>
      <c r="AI22" s="13">
        <v>246</v>
      </c>
      <c r="AJ22" s="13">
        <v>1963</v>
      </c>
      <c r="AK22" s="14">
        <v>246</v>
      </c>
      <c r="AL22" s="13">
        <v>1963</v>
      </c>
      <c r="AM22" s="13">
        <v>119</v>
      </c>
      <c r="AO22" s="13">
        <f>SUM(AO21,AO17,AO13,AO9)</f>
        <v>916</v>
      </c>
    </row>
    <row r="23" spans="3:41" x14ac:dyDescent="0.3">
      <c r="AJ23">
        <f>AJ22/12</f>
        <v>163.58333333333334</v>
      </c>
      <c r="AO23">
        <f>AO22/12</f>
        <v>76.333333333333329</v>
      </c>
    </row>
    <row r="28" spans="3:41" x14ac:dyDescent="0.3">
      <c r="C28" t="s">
        <v>173</v>
      </c>
      <c r="AN28" s="263" t="s">
        <v>39</v>
      </c>
      <c r="AO28" s="263"/>
    </row>
    <row r="29" spans="3:41" x14ac:dyDescent="0.3">
      <c r="C29" s="243" t="s">
        <v>47</v>
      </c>
      <c r="D29" s="246" t="s">
        <v>143</v>
      </c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8"/>
      <c r="AI29" s="252" t="s">
        <v>144</v>
      </c>
      <c r="AJ29" s="253"/>
      <c r="AK29" s="256" t="s">
        <v>145</v>
      </c>
      <c r="AL29" s="257"/>
      <c r="AM29" s="258"/>
      <c r="AN29" s="239" t="s">
        <v>144</v>
      </c>
      <c r="AO29" s="240"/>
    </row>
    <row r="30" spans="3:41" x14ac:dyDescent="0.3">
      <c r="C30" s="244"/>
      <c r="D30" s="249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1"/>
      <c r="AI30" s="254"/>
      <c r="AJ30" s="255"/>
      <c r="AK30" s="259" t="s">
        <v>146</v>
      </c>
      <c r="AL30" s="260"/>
      <c r="AM30" s="261" t="s">
        <v>147</v>
      </c>
      <c r="AN30" s="241"/>
      <c r="AO30" s="242"/>
    </row>
    <row r="31" spans="3:41" x14ac:dyDescent="0.3">
      <c r="C31" s="245"/>
      <c r="D31" s="76">
        <v>1</v>
      </c>
      <c r="E31" s="77">
        <v>2</v>
      </c>
      <c r="F31" s="77">
        <v>3</v>
      </c>
      <c r="G31" s="77">
        <v>4</v>
      </c>
      <c r="H31" s="77">
        <v>5</v>
      </c>
      <c r="I31" s="77">
        <v>6</v>
      </c>
      <c r="J31" s="77">
        <v>7</v>
      </c>
      <c r="K31" s="77">
        <v>8</v>
      </c>
      <c r="L31" s="77">
        <v>9</v>
      </c>
      <c r="M31" s="77">
        <v>10</v>
      </c>
      <c r="N31" s="77">
        <v>11</v>
      </c>
      <c r="O31" s="77">
        <v>12</v>
      </c>
      <c r="P31" s="77">
        <v>13</v>
      </c>
      <c r="Q31" s="77">
        <v>14</v>
      </c>
      <c r="R31" s="77">
        <v>15</v>
      </c>
      <c r="S31" s="77">
        <v>16</v>
      </c>
      <c r="T31" s="77">
        <v>17</v>
      </c>
      <c r="U31" s="77">
        <v>18</v>
      </c>
      <c r="V31" s="77">
        <v>19</v>
      </c>
      <c r="W31" s="77">
        <v>20</v>
      </c>
      <c r="X31" s="77">
        <v>21</v>
      </c>
      <c r="Y31" s="77">
        <v>22</v>
      </c>
      <c r="Z31" s="77">
        <v>23</v>
      </c>
      <c r="AA31" s="77">
        <v>24</v>
      </c>
      <c r="AB31" s="77">
        <v>25</v>
      </c>
      <c r="AC31" s="77">
        <v>26</v>
      </c>
      <c r="AD31" s="77">
        <v>27</v>
      </c>
      <c r="AE31" s="77">
        <v>28</v>
      </c>
      <c r="AF31" s="77">
        <v>29</v>
      </c>
      <c r="AG31" s="77">
        <v>30</v>
      </c>
      <c r="AH31" s="77">
        <v>31</v>
      </c>
      <c r="AI31" s="15" t="s">
        <v>156</v>
      </c>
      <c r="AJ31" s="15" t="s">
        <v>157</v>
      </c>
      <c r="AK31" s="15" t="s">
        <v>156</v>
      </c>
      <c r="AL31" s="15" t="s">
        <v>157</v>
      </c>
      <c r="AM31" s="262"/>
      <c r="AN31" s="2" t="s">
        <v>156</v>
      </c>
      <c r="AO31" s="2" t="s">
        <v>157</v>
      </c>
    </row>
    <row r="32" spans="3:41" x14ac:dyDescent="0.3">
      <c r="C32" s="16" t="s">
        <v>19</v>
      </c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>
        <v>7.2</v>
      </c>
      <c r="P32" s="81">
        <v>7.2</v>
      </c>
      <c r="Q32" s="81">
        <v>7.2</v>
      </c>
      <c r="R32" s="81">
        <v>7.2</v>
      </c>
      <c r="S32" s="81">
        <v>7.2</v>
      </c>
      <c r="T32" s="81"/>
      <c r="U32" s="81"/>
      <c r="V32" s="81">
        <v>7.2</v>
      </c>
      <c r="W32" s="81">
        <v>7.2</v>
      </c>
      <c r="X32" s="81">
        <v>7.2</v>
      </c>
      <c r="Y32" s="81">
        <v>7.2</v>
      </c>
      <c r="Z32" s="81">
        <v>7.2</v>
      </c>
      <c r="AA32" s="81"/>
      <c r="AB32" s="81"/>
      <c r="AC32" s="81">
        <v>7.2</v>
      </c>
      <c r="AD32" s="81">
        <v>7.2</v>
      </c>
      <c r="AE32" s="81">
        <v>7.2</v>
      </c>
      <c r="AF32" s="81">
        <v>7.2</v>
      </c>
      <c r="AG32" s="81">
        <v>7.2</v>
      </c>
      <c r="AH32" s="81"/>
      <c r="AI32" s="16">
        <v>17</v>
      </c>
      <c r="AJ32" s="16">
        <v>122.4</v>
      </c>
      <c r="AK32" s="17">
        <v>17</v>
      </c>
      <c r="AL32" s="17">
        <v>122.4</v>
      </c>
      <c r="AM32" s="17" t="s">
        <v>153</v>
      </c>
      <c r="AN32" s="4">
        <f>COUNT(D32:R32)</f>
        <v>4</v>
      </c>
      <c r="AO32" s="4">
        <f>SUM(D32:R32)</f>
        <v>28.8</v>
      </c>
    </row>
    <row r="33" spans="3:41" x14ac:dyDescent="0.3">
      <c r="C33" s="16" t="s">
        <v>20</v>
      </c>
      <c r="D33" s="81"/>
      <c r="E33" s="81">
        <v>7.2</v>
      </c>
      <c r="F33" s="81">
        <v>7.2</v>
      </c>
      <c r="G33" s="81">
        <v>7.2</v>
      </c>
      <c r="H33" s="81">
        <v>7.2</v>
      </c>
      <c r="I33" s="81">
        <v>7.2</v>
      </c>
      <c r="J33" s="81"/>
      <c r="K33" s="81"/>
      <c r="L33" s="81">
        <v>7.2</v>
      </c>
      <c r="M33" s="81">
        <v>7.2</v>
      </c>
      <c r="N33" s="81">
        <v>7.2</v>
      </c>
      <c r="O33" s="81">
        <v>7.2</v>
      </c>
      <c r="P33" s="81">
        <v>7.2</v>
      </c>
      <c r="Q33" s="81"/>
      <c r="R33" s="81"/>
      <c r="S33" s="81">
        <v>7.2</v>
      </c>
      <c r="T33" s="81">
        <v>7.2</v>
      </c>
      <c r="U33" s="81">
        <v>7.2</v>
      </c>
      <c r="V33" s="81">
        <v>7.2</v>
      </c>
      <c r="W33" s="81">
        <v>7.2</v>
      </c>
      <c r="X33" s="81"/>
      <c r="Y33" s="81"/>
      <c r="Z33" s="81"/>
      <c r="AA33" s="81">
        <v>7.2</v>
      </c>
      <c r="AB33" s="81">
        <v>7.2</v>
      </c>
      <c r="AC33" s="81">
        <v>7.2</v>
      </c>
      <c r="AD33" s="81">
        <v>7.2</v>
      </c>
      <c r="AE33" s="81"/>
      <c r="AF33" s="81" t="s">
        <v>11</v>
      </c>
      <c r="AG33" s="81" t="s">
        <v>11</v>
      </c>
      <c r="AH33" s="81" t="s">
        <v>11</v>
      </c>
      <c r="AI33" s="16">
        <v>20</v>
      </c>
      <c r="AJ33" s="16">
        <v>144</v>
      </c>
      <c r="AK33" s="17">
        <v>20</v>
      </c>
      <c r="AL33" s="17">
        <v>144</v>
      </c>
      <c r="AM33" s="17" t="s">
        <v>148</v>
      </c>
      <c r="AN33" s="4">
        <f>COUNT(D33:R33)</f>
        <v>10</v>
      </c>
      <c r="AO33" s="4">
        <f>SUM(D33:R33)</f>
        <v>72.000000000000014</v>
      </c>
    </row>
    <row r="34" spans="3:41" x14ac:dyDescent="0.3">
      <c r="C34" s="16" t="s">
        <v>21</v>
      </c>
      <c r="D34" s="81"/>
      <c r="E34" s="81">
        <v>7.2</v>
      </c>
      <c r="F34" s="81">
        <v>7.2</v>
      </c>
      <c r="G34" s="81">
        <v>7.2</v>
      </c>
      <c r="H34" s="81">
        <v>7.2</v>
      </c>
      <c r="I34" s="81">
        <v>7.2</v>
      </c>
      <c r="J34" s="81"/>
      <c r="K34" s="81"/>
      <c r="L34" s="81"/>
      <c r="M34" s="81">
        <v>7.2</v>
      </c>
      <c r="N34" s="81">
        <v>7.2</v>
      </c>
      <c r="O34" s="81">
        <v>7.2</v>
      </c>
      <c r="P34" s="81">
        <v>7.2</v>
      </c>
      <c r="Q34" s="81"/>
      <c r="R34" s="81"/>
      <c r="S34" s="81">
        <v>7.2</v>
      </c>
      <c r="T34" s="81">
        <v>7.2</v>
      </c>
      <c r="U34" s="81">
        <v>7.2</v>
      </c>
      <c r="V34" s="81">
        <v>6.2</v>
      </c>
      <c r="W34" s="81"/>
      <c r="X34" s="81"/>
      <c r="Y34" s="81"/>
      <c r="Z34" s="81">
        <v>7.2</v>
      </c>
      <c r="AA34" s="81">
        <v>7.2</v>
      </c>
      <c r="AB34" s="81">
        <v>7.2</v>
      </c>
      <c r="AC34" s="81">
        <v>7.2</v>
      </c>
      <c r="AD34" s="81">
        <v>7.2</v>
      </c>
      <c r="AE34" s="81"/>
      <c r="AF34" s="81"/>
      <c r="AG34" s="81">
        <v>7.2</v>
      </c>
      <c r="AH34" s="81">
        <v>7.2</v>
      </c>
      <c r="AI34" s="16">
        <v>21</v>
      </c>
      <c r="AJ34" s="16">
        <v>150.19999999999999</v>
      </c>
      <c r="AK34" s="17">
        <v>21</v>
      </c>
      <c r="AL34" s="17">
        <v>150.19999999999999</v>
      </c>
      <c r="AM34" s="17" t="s">
        <v>150</v>
      </c>
      <c r="AN34" s="4">
        <f>COUNT(D34:R34)</f>
        <v>9</v>
      </c>
      <c r="AO34" s="4">
        <f>SUM(D34:R34)</f>
        <v>64.800000000000011</v>
      </c>
    </row>
    <row r="35" spans="3:41" x14ac:dyDescent="0.3">
      <c r="C35" s="18" t="s">
        <v>18</v>
      </c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3"/>
      <c r="AI35" s="21">
        <v>58</v>
      </c>
      <c r="AJ35" s="22">
        <v>416.6</v>
      </c>
      <c r="AK35" s="21">
        <v>58</v>
      </c>
      <c r="AL35" s="22">
        <v>416.6</v>
      </c>
      <c r="AM35" s="22" t="s">
        <v>158</v>
      </c>
      <c r="AN35" s="9">
        <f>SUM(AN32:AN34)</f>
        <v>23</v>
      </c>
      <c r="AO35" s="9">
        <f>SUM(AO32:AO34)</f>
        <v>165.60000000000002</v>
      </c>
    </row>
    <row r="36" spans="3:41" x14ac:dyDescent="0.3">
      <c r="C36" s="16" t="s">
        <v>23</v>
      </c>
      <c r="D36" s="81">
        <v>7.2</v>
      </c>
      <c r="E36" s="81">
        <v>7.2</v>
      </c>
      <c r="F36" s="81">
        <v>7.2</v>
      </c>
      <c r="G36" s="81"/>
      <c r="H36" s="81"/>
      <c r="I36" s="81">
        <v>7.2</v>
      </c>
      <c r="J36" s="81">
        <v>7.2</v>
      </c>
      <c r="K36" s="81">
        <v>7.2</v>
      </c>
      <c r="L36" s="81">
        <v>7.2</v>
      </c>
      <c r="M36" s="81">
        <v>7.2</v>
      </c>
      <c r="N36" s="81"/>
      <c r="O36" s="81"/>
      <c r="P36" s="81">
        <v>7.2</v>
      </c>
      <c r="Q36" s="81">
        <v>7.2</v>
      </c>
      <c r="R36" s="81">
        <v>7.2</v>
      </c>
      <c r="S36" s="81">
        <v>7.2</v>
      </c>
      <c r="T36" s="81">
        <v>7.2</v>
      </c>
      <c r="U36" s="81"/>
      <c r="V36" s="81"/>
      <c r="W36" s="81">
        <v>7.2</v>
      </c>
      <c r="X36" s="81">
        <v>7.2</v>
      </c>
      <c r="Y36" s="81">
        <v>7.2</v>
      </c>
      <c r="Z36" s="81">
        <v>7.2</v>
      </c>
      <c r="AA36" s="81">
        <v>7.2</v>
      </c>
      <c r="AB36" s="81"/>
      <c r="AC36" s="81"/>
      <c r="AD36" s="81">
        <v>7.2</v>
      </c>
      <c r="AE36" s="81">
        <v>6.2</v>
      </c>
      <c r="AF36" s="81"/>
      <c r="AG36" s="81">
        <v>6.2</v>
      </c>
      <c r="AH36" s="81" t="s">
        <v>11</v>
      </c>
      <c r="AI36" s="16">
        <v>21</v>
      </c>
      <c r="AJ36" s="16">
        <v>149.19999999999999</v>
      </c>
      <c r="AK36" s="17">
        <v>21</v>
      </c>
      <c r="AL36" s="17">
        <v>149.19999999999999</v>
      </c>
      <c r="AM36" s="17" t="s">
        <v>149</v>
      </c>
      <c r="AN36" s="4">
        <f>COUNT(D36:R36)</f>
        <v>11</v>
      </c>
      <c r="AO36" s="4">
        <f>SUM(D36:R36)</f>
        <v>79.200000000000017</v>
      </c>
    </row>
    <row r="37" spans="3:41" x14ac:dyDescent="0.3">
      <c r="C37" s="16" t="s">
        <v>24</v>
      </c>
      <c r="D37" s="81"/>
      <c r="E37" s="81"/>
      <c r="F37" s="81"/>
      <c r="G37" s="81">
        <v>7.2</v>
      </c>
      <c r="H37" s="81">
        <v>7.2</v>
      </c>
      <c r="I37" s="81">
        <v>7.2</v>
      </c>
      <c r="J37" s="81">
        <v>7.2</v>
      </c>
      <c r="K37" s="81">
        <v>6.2</v>
      </c>
      <c r="L37" s="81"/>
      <c r="M37" s="81"/>
      <c r="N37" s="81"/>
      <c r="O37" s="81">
        <v>7.2</v>
      </c>
      <c r="P37" s="81">
        <v>7.2</v>
      </c>
      <c r="Q37" s="81">
        <v>7.2</v>
      </c>
      <c r="R37" s="81">
        <v>7.2</v>
      </c>
      <c r="S37" s="81"/>
      <c r="T37" s="81"/>
      <c r="U37" s="81">
        <v>7.2</v>
      </c>
      <c r="V37" s="81">
        <v>7.2</v>
      </c>
      <c r="W37" s="81">
        <v>7.2</v>
      </c>
      <c r="X37" s="81">
        <v>7.2</v>
      </c>
      <c r="Y37" s="81">
        <v>7.2</v>
      </c>
      <c r="Z37" s="81"/>
      <c r="AA37" s="81"/>
      <c r="AB37" s="81">
        <v>7.2</v>
      </c>
      <c r="AC37" s="81">
        <v>6.2</v>
      </c>
      <c r="AD37" s="81"/>
      <c r="AE37" s="81">
        <v>7.2</v>
      </c>
      <c r="AF37" s="81">
        <v>7.2</v>
      </c>
      <c r="AG37" s="81"/>
      <c r="AH37" s="81"/>
      <c r="AI37" s="16">
        <v>18</v>
      </c>
      <c r="AJ37" s="16">
        <v>129.6</v>
      </c>
      <c r="AK37" s="17">
        <v>18</v>
      </c>
      <c r="AL37" s="17">
        <v>129.6</v>
      </c>
      <c r="AM37" s="17" t="s">
        <v>152</v>
      </c>
      <c r="AN37" s="4">
        <f>COUNT(D37:R37)</f>
        <v>9</v>
      </c>
      <c r="AO37" s="4">
        <f>SUM(D37:R37)</f>
        <v>63.800000000000011</v>
      </c>
    </row>
    <row r="38" spans="3:41" x14ac:dyDescent="0.3">
      <c r="C38" s="16" t="s">
        <v>25</v>
      </c>
      <c r="D38" s="81">
        <v>7.2</v>
      </c>
      <c r="E38" s="81">
        <v>7.2</v>
      </c>
      <c r="F38" s="81">
        <v>7.2</v>
      </c>
      <c r="G38" s="81">
        <v>7.2</v>
      </c>
      <c r="H38" s="81">
        <v>7.2</v>
      </c>
      <c r="I38" s="81"/>
      <c r="J38" s="81"/>
      <c r="K38" s="81">
        <v>7.2</v>
      </c>
      <c r="L38" s="81">
        <v>7.2</v>
      </c>
      <c r="M38" s="81">
        <v>7.2</v>
      </c>
      <c r="N38" s="81">
        <v>6.2</v>
      </c>
      <c r="O38" s="81"/>
      <c r="P38" s="81"/>
      <c r="Q38" s="81"/>
      <c r="R38" s="81">
        <v>7.2</v>
      </c>
      <c r="S38" s="81">
        <v>7.2</v>
      </c>
      <c r="T38" s="81">
        <v>7.2</v>
      </c>
      <c r="U38" s="81">
        <v>7.2</v>
      </c>
      <c r="V38" s="81">
        <v>7.2</v>
      </c>
      <c r="W38" s="81"/>
      <c r="X38" s="81"/>
      <c r="Y38" s="81">
        <v>7.2</v>
      </c>
      <c r="Z38" s="81">
        <v>7.2</v>
      </c>
      <c r="AA38" s="81">
        <v>7.2</v>
      </c>
      <c r="AB38" s="81">
        <v>7.2</v>
      </c>
      <c r="AC38" s="81">
        <v>7.2</v>
      </c>
      <c r="AD38" s="81"/>
      <c r="AE38" s="81"/>
      <c r="AF38" s="81">
        <v>7.2</v>
      </c>
      <c r="AG38" s="81">
        <v>7.2</v>
      </c>
      <c r="AH38" s="81" t="s">
        <v>11</v>
      </c>
      <c r="AI38" s="16">
        <v>19</v>
      </c>
      <c r="AJ38" s="16">
        <v>135.80000000000001</v>
      </c>
      <c r="AK38" s="17">
        <v>19</v>
      </c>
      <c r="AL38" s="17">
        <v>135.80000000000001</v>
      </c>
      <c r="AM38" s="17" t="s">
        <v>151</v>
      </c>
      <c r="AN38" s="4">
        <f>COUNT(D38:R38)</f>
        <v>10</v>
      </c>
      <c r="AO38" s="4">
        <f>SUM(D38:R38)</f>
        <v>71.000000000000014</v>
      </c>
    </row>
    <row r="39" spans="3:41" x14ac:dyDescent="0.3">
      <c r="C39" s="18" t="s">
        <v>22</v>
      </c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3"/>
      <c r="AI39" s="21">
        <v>58</v>
      </c>
      <c r="AJ39" s="22">
        <v>414.6</v>
      </c>
      <c r="AK39" s="21">
        <v>58</v>
      </c>
      <c r="AL39" s="22">
        <v>414.6</v>
      </c>
      <c r="AM39" s="22" t="s">
        <v>161</v>
      </c>
      <c r="AN39" s="9">
        <f>SUM(AN36:AN38)</f>
        <v>30</v>
      </c>
      <c r="AO39" s="9">
        <f>SUM(AO36:AO38)</f>
        <v>214.00000000000006</v>
      </c>
    </row>
    <row r="40" spans="3:41" x14ac:dyDescent="0.3">
      <c r="C40" s="16" t="s">
        <v>27</v>
      </c>
      <c r="D40" s="81">
        <v>7.2</v>
      </c>
      <c r="E40" s="81">
        <v>7.2</v>
      </c>
      <c r="F40" s="81">
        <v>7.2</v>
      </c>
      <c r="G40" s="81"/>
      <c r="H40" s="81"/>
      <c r="I40" s="81">
        <v>7.2</v>
      </c>
      <c r="J40" s="81">
        <v>7.2</v>
      </c>
      <c r="K40" s="81">
        <v>7.2</v>
      </c>
      <c r="L40" s="81">
        <v>7.2</v>
      </c>
      <c r="M40" s="81">
        <v>7.2</v>
      </c>
      <c r="N40" s="81"/>
      <c r="O40" s="81"/>
      <c r="P40" s="81">
        <v>7.2</v>
      </c>
      <c r="Q40" s="81">
        <v>7.2</v>
      </c>
      <c r="R40" s="81">
        <v>7.2</v>
      </c>
      <c r="S40" s="81">
        <v>7.2</v>
      </c>
      <c r="T40" s="81">
        <v>7.2</v>
      </c>
      <c r="U40" s="81"/>
      <c r="V40" s="81"/>
      <c r="W40" s="81">
        <v>7.2</v>
      </c>
      <c r="X40" s="81">
        <v>7.2</v>
      </c>
      <c r="Y40" s="81">
        <v>7.2</v>
      </c>
      <c r="Z40" s="81">
        <v>7.2</v>
      </c>
      <c r="AA40" s="81">
        <v>7.2</v>
      </c>
      <c r="AB40" s="81"/>
      <c r="AC40" s="81"/>
      <c r="AD40" s="81"/>
      <c r="AE40" s="81">
        <v>7.2</v>
      </c>
      <c r="AF40" s="81">
        <v>7.2</v>
      </c>
      <c r="AG40" s="81">
        <v>7.2</v>
      </c>
      <c r="AH40" s="81">
        <v>7.2</v>
      </c>
      <c r="AI40" s="16">
        <v>23</v>
      </c>
      <c r="AJ40" s="16">
        <v>165.6</v>
      </c>
      <c r="AK40" s="17">
        <v>23</v>
      </c>
      <c r="AL40" s="17">
        <v>165.6</v>
      </c>
      <c r="AM40" s="17" t="s">
        <v>148</v>
      </c>
      <c r="AN40" s="4">
        <f>COUNT(D40:R40)</f>
        <v>11</v>
      </c>
      <c r="AO40" s="4">
        <f>SUM(D40:R40)</f>
        <v>79.200000000000017</v>
      </c>
    </row>
    <row r="41" spans="3:41" x14ac:dyDescent="0.3">
      <c r="C41" s="16" t="s">
        <v>28</v>
      </c>
      <c r="D41" s="81"/>
      <c r="E41" s="81"/>
      <c r="F41" s="81">
        <v>7.2</v>
      </c>
      <c r="G41" s="81">
        <v>7.2</v>
      </c>
      <c r="H41" s="81">
        <v>7.2</v>
      </c>
      <c r="I41" s="81">
        <v>7.2</v>
      </c>
      <c r="J41" s="81">
        <v>7.2</v>
      </c>
      <c r="K41" s="81"/>
      <c r="L41" s="81"/>
      <c r="M41" s="81">
        <v>7.2</v>
      </c>
      <c r="N41" s="81">
        <v>7.2</v>
      </c>
      <c r="O41" s="81">
        <v>7.2</v>
      </c>
      <c r="P41" s="81">
        <v>7.2</v>
      </c>
      <c r="Q41" s="81">
        <v>7.2</v>
      </c>
      <c r="R41" s="81"/>
      <c r="S41" s="81"/>
      <c r="T41" s="81">
        <v>7.2</v>
      </c>
      <c r="U41" s="81">
        <v>7.2</v>
      </c>
      <c r="V41" s="81">
        <v>7.2</v>
      </c>
      <c r="W41" s="81">
        <v>7.2</v>
      </c>
      <c r="X41" s="81">
        <v>7.2</v>
      </c>
      <c r="Y41" s="81"/>
      <c r="Z41" s="81"/>
      <c r="AA41" s="81">
        <v>7.2</v>
      </c>
      <c r="AB41" s="81">
        <v>7.2</v>
      </c>
      <c r="AC41" s="81">
        <v>7.2</v>
      </c>
      <c r="AD41" s="81">
        <v>7.2</v>
      </c>
      <c r="AE41" s="81">
        <v>7.2</v>
      </c>
      <c r="AF41" s="81"/>
      <c r="AG41" s="81"/>
      <c r="AH41" s="81">
        <v>7.2</v>
      </c>
      <c r="AI41" s="16">
        <v>21</v>
      </c>
      <c r="AJ41" s="16">
        <v>151.19999999999999</v>
      </c>
      <c r="AK41" s="17">
        <v>21</v>
      </c>
      <c r="AL41" s="17">
        <v>151.19999999999999</v>
      </c>
      <c r="AM41" s="17" t="s">
        <v>150</v>
      </c>
      <c r="AN41" s="4">
        <f>COUNT(D41:R41)</f>
        <v>10</v>
      </c>
      <c r="AO41" s="4">
        <f>SUM(D41:R41)</f>
        <v>72.000000000000014</v>
      </c>
    </row>
    <row r="42" spans="3:41" x14ac:dyDescent="0.3">
      <c r="C42" s="16" t="s">
        <v>29</v>
      </c>
      <c r="D42" s="81">
        <v>7.2</v>
      </c>
      <c r="E42" s="81">
        <v>7.2</v>
      </c>
      <c r="F42" s="81">
        <v>7.2</v>
      </c>
      <c r="G42" s="81">
        <v>7.2</v>
      </c>
      <c r="H42" s="81"/>
      <c r="I42" s="81"/>
      <c r="J42" s="81">
        <v>7.2</v>
      </c>
      <c r="K42" s="81">
        <v>7.2</v>
      </c>
      <c r="L42" s="81">
        <v>7.2</v>
      </c>
      <c r="M42" s="81">
        <v>7.2</v>
      </c>
      <c r="N42" s="81">
        <v>7.2</v>
      </c>
      <c r="O42" s="81"/>
      <c r="P42" s="81"/>
      <c r="Q42" s="81">
        <v>6.2</v>
      </c>
      <c r="R42" s="81"/>
      <c r="S42" s="81">
        <v>7.2</v>
      </c>
      <c r="T42" s="81">
        <v>7.2</v>
      </c>
      <c r="U42" s="81">
        <v>7.2</v>
      </c>
      <c r="V42" s="81"/>
      <c r="W42" s="81"/>
      <c r="X42" s="81">
        <v>7.2</v>
      </c>
      <c r="Y42" s="81">
        <v>7.2</v>
      </c>
      <c r="Z42" s="81">
        <v>7.2</v>
      </c>
      <c r="AA42" s="81">
        <v>7.2</v>
      </c>
      <c r="AB42" s="81">
        <v>7.2</v>
      </c>
      <c r="AC42" s="81"/>
      <c r="AD42" s="81"/>
      <c r="AE42" s="81">
        <v>7.2</v>
      </c>
      <c r="AF42" s="81">
        <v>7.2</v>
      </c>
      <c r="AG42" s="81">
        <v>7.2</v>
      </c>
      <c r="AH42" s="81" t="s">
        <v>11</v>
      </c>
      <c r="AI42" s="16">
        <v>22</v>
      </c>
      <c r="AJ42" s="16">
        <v>158.4</v>
      </c>
      <c r="AK42" s="17">
        <v>22</v>
      </c>
      <c r="AL42" s="17">
        <v>158.4</v>
      </c>
      <c r="AM42" s="17" t="s">
        <v>148</v>
      </c>
      <c r="AN42" s="4">
        <f>COUNT(D42:R42)</f>
        <v>10</v>
      </c>
      <c r="AO42" s="4">
        <f>SUM(D42:R42)</f>
        <v>71.000000000000014</v>
      </c>
    </row>
    <row r="43" spans="3:41" x14ac:dyDescent="0.3">
      <c r="C43" s="18" t="s">
        <v>26</v>
      </c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3"/>
      <c r="AI43" s="21">
        <v>66</v>
      </c>
      <c r="AJ43" s="22">
        <v>475.2</v>
      </c>
      <c r="AK43" s="21">
        <v>66</v>
      </c>
      <c r="AL43" s="22">
        <v>475.2</v>
      </c>
      <c r="AM43" s="22" t="s">
        <v>154</v>
      </c>
      <c r="AN43" s="9">
        <f>SUM(AN40:AN42)</f>
        <v>31</v>
      </c>
      <c r="AO43" s="9">
        <f>SUM(AO40:AO42)</f>
        <v>222.20000000000005</v>
      </c>
    </row>
    <row r="44" spans="3:41" x14ac:dyDescent="0.3">
      <c r="C44" s="16" t="s">
        <v>31</v>
      </c>
      <c r="D44" s="81">
        <v>7.2</v>
      </c>
      <c r="E44" s="81">
        <v>7.2</v>
      </c>
      <c r="F44" s="81"/>
      <c r="G44" s="81"/>
      <c r="H44" s="81">
        <v>7.2</v>
      </c>
      <c r="I44" s="81">
        <v>7.2</v>
      </c>
      <c r="J44" s="81">
        <v>7.2</v>
      </c>
      <c r="K44" s="81">
        <v>7.2</v>
      </c>
      <c r="L44" s="81">
        <v>7.2</v>
      </c>
      <c r="M44" s="81"/>
      <c r="N44" s="81"/>
      <c r="O44" s="81">
        <v>7.2</v>
      </c>
      <c r="P44" s="81">
        <v>7.2</v>
      </c>
      <c r="Q44" s="81">
        <v>7.2</v>
      </c>
      <c r="R44" s="81">
        <v>7.2</v>
      </c>
      <c r="S44" s="81">
        <v>7.2</v>
      </c>
      <c r="T44" s="81"/>
      <c r="U44" s="81"/>
      <c r="V44" s="81">
        <v>7.2</v>
      </c>
      <c r="W44" s="81">
        <v>7.2</v>
      </c>
      <c r="X44" s="81">
        <v>7.2</v>
      </c>
      <c r="Y44" s="81">
        <v>7.2</v>
      </c>
      <c r="Z44" s="81">
        <v>7.2</v>
      </c>
      <c r="AA44" s="81"/>
      <c r="AB44" s="81"/>
      <c r="AC44" s="81">
        <v>7.2</v>
      </c>
      <c r="AD44" s="81">
        <v>7.2</v>
      </c>
      <c r="AE44" s="81">
        <v>7.2</v>
      </c>
      <c r="AF44" s="81">
        <v>7.2</v>
      </c>
      <c r="AG44" s="81">
        <v>7.2</v>
      </c>
      <c r="AH44" s="81"/>
      <c r="AI44" s="16">
        <v>23</v>
      </c>
      <c r="AJ44" s="16">
        <v>165.6</v>
      </c>
      <c r="AK44" s="17">
        <v>23</v>
      </c>
      <c r="AL44" s="17">
        <v>165.6</v>
      </c>
      <c r="AM44" s="17" t="s">
        <v>148</v>
      </c>
      <c r="AN44" s="4">
        <f>COUNT(D44:R44)</f>
        <v>11</v>
      </c>
      <c r="AO44" s="4">
        <f>SUM(D44:R44)</f>
        <v>79.200000000000017</v>
      </c>
    </row>
    <row r="45" spans="3:41" x14ac:dyDescent="0.3">
      <c r="C45" s="16" t="s">
        <v>32</v>
      </c>
      <c r="D45" s="81"/>
      <c r="E45" s="81">
        <v>7.2</v>
      </c>
      <c r="F45" s="81">
        <v>6.2</v>
      </c>
      <c r="G45" s="81"/>
      <c r="H45" s="81">
        <v>7.2</v>
      </c>
      <c r="I45" s="81">
        <v>7.2</v>
      </c>
      <c r="J45" s="81"/>
      <c r="K45" s="81"/>
      <c r="L45" s="81">
        <v>7.2</v>
      </c>
      <c r="M45" s="81">
        <v>7.2</v>
      </c>
      <c r="N45" s="81">
        <v>7.2</v>
      </c>
      <c r="O45" s="81">
        <v>7.2</v>
      </c>
      <c r="P45" s="81">
        <v>7.2</v>
      </c>
      <c r="Q45" s="81"/>
      <c r="R45" s="81"/>
      <c r="S45" s="81">
        <v>7.2</v>
      </c>
      <c r="T45" s="81">
        <v>7.2</v>
      </c>
      <c r="U45" s="81">
        <v>7.2</v>
      </c>
      <c r="V45" s="81">
        <v>7.2</v>
      </c>
      <c r="W45" s="81">
        <v>7.2</v>
      </c>
      <c r="X45" s="81"/>
      <c r="Y45" s="81"/>
      <c r="Z45" s="81">
        <v>7.2</v>
      </c>
      <c r="AA45" s="81">
        <v>7.2</v>
      </c>
      <c r="AB45" s="81">
        <v>7.2</v>
      </c>
      <c r="AC45" s="81">
        <v>7.2</v>
      </c>
      <c r="AD45" s="81">
        <v>7.2</v>
      </c>
      <c r="AE45" s="81"/>
      <c r="AF45" s="81"/>
      <c r="AG45" s="81">
        <v>7.2</v>
      </c>
      <c r="AH45" s="81" t="s">
        <v>11</v>
      </c>
      <c r="AI45" s="16">
        <v>19</v>
      </c>
      <c r="AJ45" s="16">
        <v>135.80000000000001</v>
      </c>
      <c r="AK45" s="17">
        <v>19</v>
      </c>
      <c r="AL45" s="17">
        <v>135.80000000000001</v>
      </c>
      <c r="AM45" s="17" t="s">
        <v>151</v>
      </c>
      <c r="AN45" s="4">
        <f>COUNT(D45:R45)</f>
        <v>9</v>
      </c>
      <c r="AO45" s="4">
        <f>SUM(D45:R45)</f>
        <v>63.800000000000011</v>
      </c>
    </row>
    <row r="46" spans="3:41" x14ac:dyDescent="0.3">
      <c r="C46" s="16" t="s">
        <v>33</v>
      </c>
      <c r="D46" s="81">
        <v>7.2</v>
      </c>
      <c r="E46" s="81">
        <v>7.2</v>
      </c>
      <c r="F46" s="81">
        <v>7.2</v>
      </c>
      <c r="G46" s="81">
        <v>7.2</v>
      </c>
      <c r="H46" s="81"/>
      <c r="I46" s="81"/>
      <c r="J46" s="81">
        <v>7.2</v>
      </c>
      <c r="K46" s="81">
        <v>7.2</v>
      </c>
      <c r="L46" s="81">
        <v>7.2</v>
      </c>
      <c r="M46" s="81">
        <v>7.2</v>
      </c>
      <c r="N46" s="81">
        <v>7.2</v>
      </c>
      <c r="O46" s="81"/>
      <c r="P46" s="81"/>
      <c r="Q46" s="81">
        <v>7.2</v>
      </c>
      <c r="R46" s="81">
        <v>7.2</v>
      </c>
      <c r="S46" s="81">
        <v>7.2</v>
      </c>
      <c r="T46" s="81">
        <v>7.2</v>
      </c>
      <c r="U46" s="81">
        <v>7.2</v>
      </c>
      <c r="V46" s="81"/>
      <c r="W46" s="81"/>
      <c r="X46" s="81">
        <v>7.2</v>
      </c>
      <c r="Y46" s="81">
        <v>7.2</v>
      </c>
      <c r="Z46" s="81">
        <v>7.2</v>
      </c>
      <c r="AA46" s="81">
        <v>7.2</v>
      </c>
      <c r="AB46" s="81">
        <v>7.2</v>
      </c>
      <c r="AC46" s="81"/>
      <c r="AD46" s="81"/>
      <c r="AE46" s="81">
        <v>7.2</v>
      </c>
      <c r="AF46" s="81">
        <v>7.2</v>
      </c>
      <c r="AG46" s="81">
        <v>7.2</v>
      </c>
      <c r="AH46" s="81"/>
      <c r="AI46" s="16">
        <v>22</v>
      </c>
      <c r="AJ46" s="16">
        <v>158.4</v>
      </c>
      <c r="AK46" s="17">
        <v>22</v>
      </c>
      <c r="AL46" s="17">
        <v>158.4</v>
      </c>
      <c r="AM46" s="17" t="s">
        <v>149</v>
      </c>
      <c r="AN46" s="4">
        <f>COUNT(D46:R46)</f>
        <v>11</v>
      </c>
      <c r="AO46" s="4">
        <f>SUM(D46:R46)</f>
        <v>79.200000000000017</v>
      </c>
    </row>
    <row r="47" spans="3:41" x14ac:dyDescent="0.3">
      <c r="C47" s="18" t="s">
        <v>30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20"/>
      <c r="AI47" s="21" t="s">
        <v>159</v>
      </c>
      <c r="AJ47" s="22" t="s">
        <v>166</v>
      </c>
      <c r="AK47" s="21" t="s">
        <v>159</v>
      </c>
      <c r="AL47" s="22" t="s">
        <v>166</v>
      </c>
      <c r="AM47" s="22" t="s">
        <v>155</v>
      </c>
      <c r="AN47" s="14">
        <f>SUM(AN44:AN46)</f>
        <v>31</v>
      </c>
      <c r="AO47" s="13">
        <f>SUM(AO44:AO46)</f>
        <v>222.20000000000005</v>
      </c>
    </row>
    <row r="48" spans="3:41" x14ac:dyDescent="0.3">
      <c r="C48" s="23" t="s">
        <v>160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5"/>
      <c r="AI48" s="26" t="s">
        <v>162</v>
      </c>
      <c r="AJ48" s="26" t="s">
        <v>167</v>
      </c>
      <c r="AK48" s="27" t="s">
        <v>162</v>
      </c>
      <c r="AL48" s="26" t="s">
        <v>167</v>
      </c>
      <c r="AM48" s="26" t="s">
        <v>163</v>
      </c>
      <c r="AO48" s="13">
        <f>SUM(AO47,AO43,AO39,AO35)</f>
        <v>824.00000000000011</v>
      </c>
    </row>
    <row r="49" spans="36:41" x14ac:dyDescent="0.3">
      <c r="AJ49">
        <f>AJ48/12</f>
        <v>147.18333333333334</v>
      </c>
      <c r="AO49">
        <f>AO48/12</f>
        <v>68.666666666666671</v>
      </c>
    </row>
  </sheetData>
  <sheetProtection algorithmName="SHA-512" hashValue="Gb9U3bUL4SsFqB5wHILFGYmhhu3noQsCQzcWrQMWNMr8Kdg1r6B0C3fjzIGSI1EOqWn92wo/lhSK5EvVF3QhVg==" saltValue="J6je12fwHMO7gwNn4A7DIg==" spinCount="100000" sheet="1" objects="1" scenarios="1"/>
  <mergeCells count="17">
    <mergeCell ref="C3:C5"/>
    <mergeCell ref="D3:AH4"/>
    <mergeCell ref="AI3:AJ4"/>
    <mergeCell ref="AK3:AM3"/>
    <mergeCell ref="AN3:AO4"/>
    <mergeCell ref="AI2:AM2"/>
    <mergeCell ref="AN2:AO2"/>
    <mergeCell ref="AK4:AL4"/>
    <mergeCell ref="AM4:AM5"/>
    <mergeCell ref="AN28:AO28"/>
    <mergeCell ref="AN29:AO30"/>
    <mergeCell ref="C29:C31"/>
    <mergeCell ref="D29:AH30"/>
    <mergeCell ref="AI29:AJ30"/>
    <mergeCell ref="AK29:AM29"/>
    <mergeCell ref="AK30:AL30"/>
    <mergeCell ref="AM30:AM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22"/>
  <sheetViews>
    <sheetView workbookViewId="0">
      <selection activeCell="P50" sqref="P50"/>
    </sheetView>
  </sheetViews>
  <sheetFormatPr defaultColWidth="8.109375" defaultRowHeight="14.4" x14ac:dyDescent="0.3"/>
  <cols>
    <col min="1" max="1" width="2.33203125" style="69" customWidth="1"/>
    <col min="2" max="5" width="26.88671875" style="69" customWidth="1"/>
    <col min="6" max="8" width="29.109375" style="69" bestFit="1" customWidth="1"/>
    <col min="9" max="16384" width="8.109375" style="69"/>
  </cols>
  <sheetData>
    <row r="3" spans="2:8" ht="28.8" x14ac:dyDescent="0.3">
      <c r="B3" s="69" t="s">
        <v>771</v>
      </c>
      <c r="C3" s="69" t="s">
        <v>772</v>
      </c>
      <c r="D3" s="69" t="s">
        <v>773</v>
      </c>
      <c r="E3" s="70" t="s">
        <v>774</v>
      </c>
      <c r="F3" s="70" t="s">
        <v>777</v>
      </c>
      <c r="G3" s="70" t="s">
        <v>775</v>
      </c>
      <c r="H3" s="70" t="s">
        <v>776</v>
      </c>
    </row>
    <row r="4" spans="2:8" x14ac:dyDescent="0.3">
      <c r="B4" s="71" t="s">
        <v>19</v>
      </c>
      <c r="C4" s="69">
        <v>31</v>
      </c>
      <c r="D4" s="69">
        <v>15</v>
      </c>
      <c r="E4" s="69">
        <v>16</v>
      </c>
      <c r="F4" s="69">
        <v>120</v>
      </c>
      <c r="G4" s="69">
        <v>108</v>
      </c>
      <c r="H4" s="69">
        <v>72</v>
      </c>
    </row>
    <row r="5" spans="2:8" x14ac:dyDescent="0.3">
      <c r="B5" s="71" t="s">
        <v>20</v>
      </c>
      <c r="C5" s="69">
        <v>28</v>
      </c>
      <c r="D5" s="69">
        <v>19</v>
      </c>
      <c r="E5" s="69">
        <v>9</v>
      </c>
      <c r="F5" s="69">
        <v>152</v>
      </c>
      <c r="G5" s="69">
        <v>136.80000000000001</v>
      </c>
      <c r="H5" s="69">
        <v>91.2</v>
      </c>
    </row>
    <row r="6" spans="2:8" x14ac:dyDescent="0.3">
      <c r="B6" s="71" t="s">
        <v>21</v>
      </c>
      <c r="C6" s="69">
        <v>31</v>
      </c>
      <c r="D6" s="69">
        <v>20</v>
      </c>
      <c r="E6" s="69">
        <v>11</v>
      </c>
      <c r="F6" s="69">
        <v>159</v>
      </c>
      <c r="G6" s="69">
        <v>143</v>
      </c>
      <c r="H6" s="69">
        <v>95</v>
      </c>
    </row>
    <row r="7" spans="2:8" x14ac:dyDescent="0.2">
      <c r="B7" s="71" t="s">
        <v>23</v>
      </c>
      <c r="C7" s="69">
        <v>30</v>
      </c>
      <c r="D7" s="74">
        <v>21</v>
      </c>
      <c r="E7" s="75">
        <v>9</v>
      </c>
      <c r="F7" s="74">
        <v>166</v>
      </c>
      <c r="G7" s="74">
        <v>149.19999999999999</v>
      </c>
      <c r="H7" s="69">
        <v>94</v>
      </c>
    </row>
    <row r="8" spans="2:8" x14ac:dyDescent="0.2">
      <c r="B8" s="71" t="s">
        <v>24</v>
      </c>
      <c r="C8" s="69">
        <v>31</v>
      </c>
      <c r="D8" s="74">
        <v>18</v>
      </c>
      <c r="E8" s="75">
        <v>13</v>
      </c>
      <c r="F8" s="74">
        <v>142</v>
      </c>
      <c r="G8" s="74">
        <v>127.6</v>
      </c>
      <c r="H8" s="69">
        <v>86.4</v>
      </c>
    </row>
    <row r="9" spans="2:8" x14ac:dyDescent="0.2">
      <c r="B9" s="71" t="s">
        <v>25</v>
      </c>
      <c r="C9" s="69">
        <v>30</v>
      </c>
      <c r="D9" s="74">
        <v>21</v>
      </c>
      <c r="E9" s="75">
        <v>9</v>
      </c>
      <c r="F9" s="74">
        <v>167</v>
      </c>
      <c r="G9" s="74">
        <v>150.19999999999999</v>
      </c>
      <c r="H9" s="69">
        <v>84.4</v>
      </c>
    </row>
    <row r="10" spans="2:8" x14ac:dyDescent="0.2">
      <c r="B10" s="71" t="s">
        <v>27</v>
      </c>
      <c r="C10" s="69">
        <v>31</v>
      </c>
      <c r="D10" s="74">
        <v>22</v>
      </c>
      <c r="E10" s="75">
        <v>9</v>
      </c>
      <c r="F10" s="74">
        <v>176</v>
      </c>
      <c r="G10" s="74">
        <v>158.4</v>
      </c>
      <c r="H10" s="69">
        <v>104.6</v>
      </c>
    </row>
    <row r="11" spans="2:8" x14ac:dyDescent="0.2">
      <c r="B11" s="71" t="s">
        <v>28</v>
      </c>
      <c r="C11" s="69">
        <v>31</v>
      </c>
      <c r="D11" s="74">
        <v>21</v>
      </c>
      <c r="E11" s="75">
        <v>10</v>
      </c>
      <c r="F11" s="74">
        <v>168</v>
      </c>
      <c r="G11" s="74">
        <v>151.19999999999999</v>
      </c>
      <c r="H11" s="69">
        <v>100.8</v>
      </c>
    </row>
    <row r="12" spans="2:8" x14ac:dyDescent="0.2">
      <c r="B12" s="71" t="s">
        <v>29</v>
      </c>
      <c r="C12" s="69">
        <v>30</v>
      </c>
      <c r="D12" s="74">
        <v>21</v>
      </c>
      <c r="E12" s="75">
        <v>9</v>
      </c>
      <c r="F12" s="74">
        <v>167</v>
      </c>
      <c r="G12" s="74">
        <v>150.19999999999999</v>
      </c>
      <c r="H12" s="69">
        <v>100.8</v>
      </c>
    </row>
    <row r="13" spans="2:8" x14ac:dyDescent="0.2">
      <c r="B13" s="71" t="s">
        <v>31</v>
      </c>
      <c r="C13" s="69">
        <v>31</v>
      </c>
      <c r="D13" s="74">
        <v>22</v>
      </c>
      <c r="E13" s="75">
        <v>9</v>
      </c>
      <c r="F13" s="74">
        <v>176</v>
      </c>
      <c r="G13" s="74">
        <v>158.4</v>
      </c>
      <c r="H13" s="69">
        <v>110.4</v>
      </c>
    </row>
    <row r="14" spans="2:8" x14ac:dyDescent="0.2">
      <c r="B14" s="71" t="s">
        <v>32</v>
      </c>
      <c r="C14" s="69">
        <v>30</v>
      </c>
      <c r="D14" s="74">
        <v>20</v>
      </c>
      <c r="E14" s="75">
        <v>10</v>
      </c>
      <c r="F14" s="74">
        <v>159</v>
      </c>
      <c r="G14" s="74">
        <v>143</v>
      </c>
      <c r="H14" s="69">
        <v>90.2</v>
      </c>
    </row>
    <row r="15" spans="2:8" x14ac:dyDescent="0.2">
      <c r="B15" s="71" t="s">
        <v>33</v>
      </c>
      <c r="C15" s="69">
        <v>31</v>
      </c>
      <c r="D15" s="74">
        <v>22</v>
      </c>
      <c r="E15" s="75">
        <v>9</v>
      </c>
      <c r="F15" s="74">
        <v>176</v>
      </c>
      <c r="G15" s="74">
        <v>158.4</v>
      </c>
      <c r="H15" s="69">
        <v>105.6</v>
      </c>
    </row>
    <row r="17" spans="2:7" x14ac:dyDescent="0.3">
      <c r="B17" s="69" t="s">
        <v>778</v>
      </c>
      <c r="F17" s="69">
        <f>SUM(F4:F6)</f>
        <v>431</v>
      </c>
      <c r="G17" s="69">
        <f>SUM(G4:G6)</f>
        <v>387.8</v>
      </c>
    </row>
    <row r="18" spans="2:7" x14ac:dyDescent="0.3">
      <c r="B18" s="69" t="s">
        <v>779</v>
      </c>
      <c r="F18" s="69">
        <f>SUM(F7:F9)</f>
        <v>475</v>
      </c>
      <c r="G18" s="69">
        <f>SUM(G7:G9)</f>
        <v>426.99999999999994</v>
      </c>
    </row>
    <row r="19" spans="2:7" x14ac:dyDescent="0.3">
      <c r="B19" s="69" t="s">
        <v>780</v>
      </c>
      <c r="F19" s="69">
        <f>SUM(F10:F12)</f>
        <v>511</v>
      </c>
      <c r="G19" s="69">
        <f>SUM(G10:G12)</f>
        <v>459.8</v>
      </c>
    </row>
    <row r="20" spans="2:7" x14ac:dyDescent="0.3">
      <c r="B20" s="69" t="s">
        <v>781</v>
      </c>
      <c r="F20" s="69">
        <f>SUM(F13:F15)</f>
        <v>511</v>
      </c>
      <c r="G20" s="69">
        <f>SUM(G13:G15)</f>
        <v>459.79999999999995</v>
      </c>
    </row>
    <row r="21" spans="2:7" x14ac:dyDescent="0.3">
      <c r="F21" s="69">
        <f>SUM(F17:F20)</f>
        <v>1928</v>
      </c>
      <c r="G21" s="69">
        <f>SUM(G17:G20)</f>
        <v>1734.3999999999999</v>
      </c>
    </row>
    <row r="22" spans="2:7" x14ac:dyDescent="0.3">
      <c r="F22" s="72">
        <f>F21/12</f>
        <v>160.66666666666666</v>
      </c>
      <c r="G22" s="72">
        <f>G21/12</f>
        <v>144.53333333333333</v>
      </c>
    </row>
  </sheetData>
  <sheetProtection algorithmName="SHA-512" hashValue="7gwKyyCPg4uCbLBynAkE72FOUbpLFBgqQuSNVR1KYOrVVaXO1qp0QaRaiyYVuLdqfhf5RpOS5m33vhHWAjbY+A==" saltValue="o6UIgBiFwyh/ssgp9ubr7w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Q17"/>
  <sheetViews>
    <sheetView workbookViewId="0">
      <selection activeCell="P50" sqref="P50"/>
    </sheetView>
  </sheetViews>
  <sheetFormatPr defaultRowHeight="14.4" x14ac:dyDescent="0.3"/>
  <cols>
    <col min="2" max="2" width="49.5546875" bestFit="1" customWidth="1"/>
    <col min="8" max="8" width="79.44140625" bestFit="1" customWidth="1"/>
  </cols>
  <sheetData>
    <row r="3" spans="2:43" x14ac:dyDescent="0.3">
      <c r="B3" t="s">
        <v>48</v>
      </c>
      <c r="C3" t="s">
        <v>8</v>
      </c>
      <c r="D3">
        <v>8</v>
      </c>
      <c r="F3" t="s">
        <v>19</v>
      </c>
      <c r="H3" t="s">
        <v>168</v>
      </c>
      <c r="J3" s="1">
        <v>1</v>
      </c>
      <c r="K3" s="1" t="s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16</v>
      </c>
      <c r="AC3">
        <v>17</v>
      </c>
      <c r="AD3">
        <v>18</v>
      </c>
      <c r="AE3">
        <v>19</v>
      </c>
      <c r="AF3">
        <v>20</v>
      </c>
      <c r="AG3">
        <v>21</v>
      </c>
      <c r="AH3">
        <v>22</v>
      </c>
      <c r="AI3">
        <v>23</v>
      </c>
      <c r="AJ3">
        <v>24</v>
      </c>
      <c r="AK3">
        <v>25</v>
      </c>
      <c r="AL3">
        <v>26</v>
      </c>
      <c r="AM3">
        <v>27</v>
      </c>
      <c r="AN3">
        <v>28</v>
      </c>
      <c r="AO3">
        <v>29</v>
      </c>
      <c r="AP3">
        <v>30</v>
      </c>
      <c r="AQ3">
        <v>31</v>
      </c>
    </row>
    <row r="4" spans="2:43" x14ac:dyDescent="0.3">
      <c r="B4" t="s">
        <v>61</v>
      </c>
      <c r="C4" t="s">
        <v>60</v>
      </c>
      <c r="D4">
        <v>11</v>
      </c>
      <c r="F4" t="s">
        <v>20</v>
      </c>
      <c r="H4" t="s">
        <v>169</v>
      </c>
      <c r="J4" s="1">
        <v>2</v>
      </c>
      <c r="K4" s="1" t="s">
        <v>1</v>
      </c>
      <c r="M4">
        <v>26</v>
      </c>
    </row>
    <row r="5" spans="2:43" x14ac:dyDescent="0.3">
      <c r="B5" t="s">
        <v>66</v>
      </c>
      <c r="C5" t="s">
        <v>9</v>
      </c>
      <c r="D5">
        <v>11</v>
      </c>
      <c r="F5" t="s">
        <v>21</v>
      </c>
      <c r="H5" t="s">
        <v>170</v>
      </c>
      <c r="J5" s="1">
        <v>3</v>
      </c>
      <c r="K5" s="1" t="s">
        <v>2</v>
      </c>
    </row>
    <row r="6" spans="2:43" x14ac:dyDescent="0.3">
      <c r="B6" t="s">
        <v>56</v>
      </c>
      <c r="C6" t="s">
        <v>10</v>
      </c>
      <c r="F6" t="s">
        <v>23</v>
      </c>
      <c r="H6" t="s">
        <v>80</v>
      </c>
      <c r="J6" s="1">
        <v>4</v>
      </c>
      <c r="K6" s="1" t="s">
        <v>3</v>
      </c>
      <c r="M6" t="s">
        <v>19</v>
      </c>
      <c r="N6">
        <v>1</v>
      </c>
    </row>
    <row r="7" spans="2:43" x14ac:dyDescent="0.3">
      <c r="B7" t="s">
        <v>57</v>
      </c>
      <c r="C7" t="s">
        <v>11</v>
      </c>
      <c r="F7" t="s">
        <v>24</v>
      </c>
      <c r="H7" t="s">
        <v>171</v>
      </c>
      <c r="J7" s="1">
        <v>5</v>
      </c>
      <c r="K7" s="1" t="s">
        <v>4</v>
      </c>
      <c r="M7" t="s">
        <v>20</v>
      </c>
      <c r="N7">
        <v>2</v>
      </c>
    </row>
    <row r="8" spans="2:43" x14ac:dyDescent="0.3">
      <c r="B8" t="s">
        <v>58</v>
      </c>
      <c r="C8" t="s">
        <v>12</v>
      </c>
      <c r="F8" t="s">
        <v>25</v>
      </c>
      <c r="H8" t="s">
        <v>172</v>
      </c>
      <c r="J8" s="1">
        <v>6</v>
      </c>
      <c r="K8" s="1" t="s">
        <v>5</v>
      </c>
      <c r="M8" t="s">
        <v>21</v>
      </c>
      <c r="N8">
        <v>3</v>
      </c>
    </row>
    <row r="9" spans="2:43" x14ac:dyDescent="0.3">
      <c r="B9" t="s">
        <v>59</v>
      </c>
      <c r="C9" t="s">
        <v>13</v>
      </c>
      <c r="F9" t="s">
        <v>27</v>
      </c>
      <c r="J9" s="1">
        <v>7</v>
      </c>
      <c r="K9" s="1" t="s">
        <v>6</v>
      </c>
      <c r="M9" t="s">
        <v>23</v>
      </c>
      <c r="N9">
        <v>4</v>
      </c>
    </row>
    <row r="10" spans="2:43" x14ac:dyDescent="0.3">
      <c r="B10" t="s">
        <v>50</v>
      </c>
      <c r="C10" t="s">
        <v>49</v>
      </c>
      <c r="F10" t="s">
        <v>28</v>
      </c>
      <c r="H10" t="s">
        <v>142</v>
      </c>
      <c r="M10" t="s">
        <v>24</v>
      </c>
      <c r="N10">
        <v>5</v>
      </c>
    </row>
    <row r="11" spans="2:43" x14ac:dyDescent="0.3">
      <c r="B11" t="s">
        <v>51</v>
      </c>
      <c r="C11" t="s">
        <v>14</v>
      </c>
      <c r="F11" t="s">
        <v>29</v>
      </c>
      <c r="H11" t="s">
        <v>141</v>
      </c>
      <c r="M11" t="s">
        <v>25</v>
      </c>
      <c r="N11">
        <v>6</v>
      </c>
    </row>
    <row r="12" spans="2:43" x14ac:dyDescent="0.3">
      <c r="B12" t="s">
        <v>53</v>
      </c>
      <c r="C12" t="s">
        <v>52</v>
      </c>
      <c r="F12" t="s">
        <v>31</v>
      </c>
      <c r="M12" t="s">
        <v>27</v>
      </c>
      <c r="N12">
        <v>7</v>
      </c>
    </row>
    <row r="13" spans="2:43" x14ac:dyDescent="0.3">
      <c r="B13" t="s">
        <v>55</v>
      </c>
      <c r="C13" t="s">
        <v>54</v>
      </c>
      <c r="F13" t="s">
        <v>32</v>
      </c>
      <c r="M13" t="s">
        <v>28</v>
      </c>
      <c r="N13">
        <v>8</v>
      </c>
    </row>
    <row r="14" spans="2:43" x14ac:dyDescent="0.3">
      <c r="F14" t="s">
        <v>33</v>
      </c>
      <c r="M14" t="s">
        <v>29</v>
      </c>
      <c r="N14">
        <v>9</v>
      </c>
    </row>
    <row r="15" spans="2:43" x14ac:dyDescent="0.3">
      <c r="M15" t="s">
        <v>31</v>
      </c>
      <c r="N15">
        <v>10</v>
      </c>
    </row>
    <row r="16" spans="2:43" x14ac:dyDescent="0.3">
      <c r="M16" t="s">
        <v>32</v>
      </c>
      <c r="N16">
        <v>11</v>
      </c>
    </row>
    <row r="17" spans="13:14" x14ac:dyDescent="0.3">
      <c r="M17" t="s">
        <v>33</v>
      </c>
      <c r="N17">
        <v>12</v>
      </c>
    </row>
  </sheetData>
  <sheetProtection algorithmName="SHA-512" hashValue="IA4+Ldf/04xANRNV0bib0AwK3bZ/rWvygg5TMTRNF5e8edrG6dIwfRRF8DlXIO0c5+fZwdDPv5DN2prPIg5bHg==" saltValue="kGAhUTaPudu+VhPGpX1ZAw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пример</vt:lpstr>
      <vt:lpstr>Лист1</vt:lpstr>
      <vt:lpstr>ПК 1</vt:lpstr>
      <vt:lpstr>ПК 2 Дагестан</vt:lpstr>
      <vt:lpstr>Справочный 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2026-04-21T11:53:24Z</dcterms:modified>
</cp:coreProperties>
</file>